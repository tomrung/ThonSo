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Antigravity20\DataThon\"/>
    </mc:Choice>
  </mc:AlternateContent>
  <xr:revisionPtr revIDLastSave="0" documentId="13_ncr:1_{868CF73F-DC6F-4266-BEC9-17A83A6CF018}" xr6:coauthVersionLast="47" xr6:coauthVersionMax="47" xr10:uidLastSave="{00000000-0000-0000-0000-000000000000}"/>
  <bookViews>
    <workbookView xWindow="-110" yWindow="-110" windowWidth="19420" windowHeight="12300" activeTab="4" xr2:uid="{00000000-000D-0000-FFFF-FFFF00000000}"/>
  </bookViews>
  <sheets>
    <sheet name="HG244-T9" sheetId="7" r:id="rId1"/>
    <sheet name="HG12-T9" sheetId="13" r:id="rId2"/>
    <sheet name="HG244-T10" sheetId="8" r:id="rId3"/>
    <sheet name="LBT-GO" sheetId="9" r:id="rId4"/>
    <sheet name="LaChau" sheetId="12" r:id="rId5"/>
  </sheets>
  <definedNames>
    <definedName name="_xlnm._FilterDatabase" localSheetId="1" hidden="1">'HG12-T9'!$A$4:$H$191</definedName>
    <definedName name="_xlnm._FilterDatabase" localSheetId="2" hidden="1">'HG244-T10'!$A$4:$H$140</definedName>
    <definedName name="_xlnm._FilterDatabase" localSheetId="0" hidden="1">'HG244-T9'!$A$4:$H$143</definedName>
    <definedName name="_xlnm._FilterDatabase" localSheetId="4" hidden="1">LaChau!$A$4:$J$75</definedName>
    <definedName name="_xlnm._FilterDatabase" localSheetId="3" hidden="1">'LBT-GO'!$A$4:$J$123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1" i="9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5" i="7"/>
  <c r="G126" i="7"/>
  <c r="G127" i="7"/>
  <c r="G128" i="7"/>
  <c r="G129" i="7"/>
  <c r="G130" i="7"/>
  <c r="G131" i="7"/>
  <c r="G132" i="7"/>
  <c r="G134" i="7"/>
  <c r="G135" i="7"/>
  <c r="G136" i="7"/>
  <c r="G137" i="7"/>
  <c r="G138" i="7"/>
  <c r="G139" i="7"/>
  <c r="G141" i="7"/>
  <c r="G5" i="7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5" i="13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5" i="12"/>
  <c r="G6" i="9"/>
  <c r="G7" i="9"/>
  <c r="G8" i="9"/>
  <c r="G9" i="9"/>
  <c r="G10" i="9"/>
  <c r="G11" i="9"/>
  <c r="G13" i="9"/>
  <c r="G14" i="9"/>
  <c r="G15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3" i="9"/>
  <c r="G74" i="9"/>
  <c r="G76" i="9"/>
  <c r="G77" i="9"/>
  <c r="G78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2" i="9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5" i="8"/>
  <c r="F79" i="9"/>
  <c r="G79" i="9" s="1"/>
  <c r="F75" i="9"/>
  <c r="G75" i="9" s="1"/>
  <c r="F72" i="9"/>
  <c r="G72" i="9" s="1"/>
  <c r="F71" i="9"/>
  <c r="G71" i="9" s="1"/>
  <c r="F16" i="9"/>
  <c r="G16" i="9" s="1"/>
  <c r="F12" i="9"/>
  <c r="G12" i="9" s="1"/>
  <c r="F5" i="9"/>
  <c r="G5" i="9" s="1"/>
  <c r="F123" i="9" l="1"/>
  <c r="G123" i="9"/>
  <c r="F70" i="8"/>
  <c r="F142" i="7"/>
  <c r="G142" i="7" s="1"/>
  <c r="F140" i="7"/>
  <c r="G140" i="7" s="1"/>
  <c r="F133" i="7"/>
  <c r="G133" i="7" s="1"/>
  <c r="F124" i="7"/>
  <c r="F191" i="13"/>
  <c r="G191" i="13"/>
  <c r="F75" i="12"/>
  <c r="F140" i="8" l="1"/>
  <c r="G70" i="8"/>
  <c r="G140" i="8" s="1"/>
  <c r="F143" i="7"/>
  <c r="G124" i="7"/>
  <c r="G143" i="7"/>
  <c r="G75" i="12"/>
</calcChain>
</file>

<file path=xl/sharedStrings.xml><?xml version="1.0" encoding="utf-8"?>
<sst xmlns="http://schemas.openxmlformats.org/spreadsheetml/2006/main" count="3244" uniqueCount="618">
  <si>
    <t>Nguyễn Thị Xí</t>
  </si>
  <si>
    <t>Lô 15</t>
  </si>
  <si>
    <t>Phạm Xong</t>
  </si>
  <si>
    <t>Võ Thanh Long</t>
  </si>
  <si>
    <t>Nguyễn Cứ (Tổ 5)</t>
  </si>
  <si>
    <t>Phạm Trung</t>
  </si>
  <si>
    <t>Nguyễn Văn Lợi</t>
  </si>
  <si>
    <t>Nguyễn Văn Ích</t>
  </si>
  <si>
    <t>Đặng Thị Quí</t>
  </si>
  <si>
    <t>Đặng Toản</t>
  </si>
  <si>
    <t>Nguyễn Nghĩa</t>
  </si>
  <si>
    <t>Lô 16</t>
  </si>
  <si>
    <t>Võ Long</t>
  </si>
  <si>
    <t>Nguyễn Sự</t>
  </si>
  <si>
    <t>Phan Lan</t>
  </si>
  <si>
    <t>Lê Thị Mẹo</t>
  </si>
  <si>
    <t>Đinh Tuân</t>
  </si>
  <si>
    <t>Nguyễn Quang Thơ</t>
  </si>
  <si>
    <t>Đặng Hiền</t>
  </si>
  <si>
    <t>Võ Nhân</t>
  </si>
  <si>
    <t>Võ Văn Vũ</t>
  </si>
  <si>
    <t>Võ Diên</t>
  </si>
  <si>
    <t>Đặng Thị Khoái</t>
  </si>
  <si>
    <t>Lâm Tùng Nghĩa</t>
  </si>
  <si>
    <t>Đặng Thị Bình</t>
  </si>
  <si>
    <t>Võ Thị Mẫn</t>
  </si>
  <si>
    <t>Đặng Văn Đối</t>
  </si>
  <si>
    <t>Nguyễn Thị Năm</t>
  </si>
  <si>
    <t>Phạm Thị Chín</t>
  </si>
  <si>
    <t>Đặng Thị Bé</t>
  </si>
  <si>
    <t>Lô 17</t>
  </si>
  <si>
    <t>Nguyễn Thị Tùng</t>
  </si>
  <si>
    <t>Nguyễn Thị Y</t>
  </si>
  <si>
    <t>Đặng Tàu</t>
  </si>
  <si>
    <t>Nguyễn Thị Chiến</t>
  </si>
  <si>
    <t>Vũ Thị Dung</t>
  </si>
  <si>
    <t>Nguyễn Phận</t>
  </si>
  <si>
    <t>Phạm Lưỡng</t>
  </si>
  <si>
    <t>Võ Thiệu</t>
  </si>
  <si>
    <t>Võ Thị Phước</t>
  </si>
  <si>
    <t>Võ Hiệu</t>
  </si>
  <si>
    <t>Phạm Văn Quang</t>
  </si>
  <si>
    <t>Võ Hoàng</t>
  </si>
  <si>
    <t>Đặng Bồi</t>
  </si>
  <si>
    <t>Đặng Quang Viên</t>
  </si>
  <si>
    <t>Võ Thị Thu Vân</t>
  </si>
  <si>
    <t>Thái Thị Tuyết</t>
  </si>
  <si>
    <t>Đặng Thị Tâm</t>
  </si>
  <si>
    <t>Lô 18</t>
  </si>
  <si>
    <t>Nguyễn Thị Hoa</t>
  </si>
  <si>
    <t>Đặng Điền</t>
  </si>
  <si>
    <t>Ngô Thị Xoa</t>
  </si>
  <si>
    <t>Phạm Tấn - Hoa</t>
  </si>
  <si>
    <t>Võ Đình Nguyên</t>
  </si>
  <si>
    <t>Võ Thị Bút</t>
  </si>
  <si>
    <t>Phạm Mười</t>
  </si>
  <si>
    <t>Đặng Thị Thi</t>
  </si>
  <si>
    <t>Lô 19</t>
  </si>
  <si>
    <t>Đặng Lâng</t>
  </si>
  <si>
    <t>Lê Duy Mỹ</t>
  </si>
  <si>
    <t>Đặng Thị Tựu</t>
  </si>
  <si>
    <t>Nguyễn Mai</t>
  </si>
  <si>
    <t>Đặng Công</t>
  </si>
  <si>
    <t>Lê Trình</t>
  </si>
  <si>
    <t>STT</t>
  </si>
  <si>
    <t>Lô 13</t>
  </si>
  <si>
    <t>Đặng Quang - Hoài</t>
  </si>
  <si>
    <t>Đặng Văn Quân</t>
  </si>
  <si>
    <t>Võ Thị Lịch</t>
  </si>
  <si>
    <t>Đặng Đoàn</t>
  </si>
  <si>
    <t>Trần Đình Tân</t>
  </si>
  <si>
    <t>Võ Tiến Dũng</t>
  </si>
  <si>
    <t>Võ Văn Sang</t>
  </si>
  <si>
    <t>Đặng Thị Chi</t>
  </si>
  <si>
    <t>Võ Di</t>
  </si>
  <si>
    <t>Đặng Thị Thu</t>
  </si>
  <si>
    <t>Lô 14</t>
  </si>
  <si>
    <t>Lê Thị Út</t>
  </si>
  <si>
    <t>Võ Tuấn</t>
  </si>
  <si>
    <t>Võ Kỳ</t>
  </si>
  <si>
    <t>Võ Thị Chi</t>
  </si>
  <si>
    <t>Võ Hồng Quân</t>
  </si>
  <si>
    <t>Nguyễn Minh</t>
  </si>
  <si>
    <t>Nguyễn Keo</t>
  </si>
  <si>
    <t>Đinh Thị Nhí</t>
  </si>
  <si>
    <t>150</t>
  </si>
  <si>
    <t>Đặng Sanh</t>
  </si>
  <si>
    <t>Lô 8</t>
  </si>
  <si>
    <t>151</t>
  </si>
  <si>
    <t>152</t>
  </si>
  <si>
    <t>153</t>
  </si>
  <si>
    <t>154</t>
  </si>
  <si>
    <t>Đặng Đa</t>
  </si>
  <si>
    <t>155</t>
  </si>
  <si>
    <t>156</t>
  </si>
  <si>
    <t>157</t>
  </si>
  <si>
    <t>158</t>
  </si>
  <si>
    <t>159</t>
  </si>
  <si>
    <t>160</t>
  </si>
  <si>
    <t>Đặng Thọ</t>
  </si>
  <si>
    <t>161</t>
  </si>
  <si>
    <t>Trần Thị Toàn</t>
  </si>
  <si>
    <t>162</t>
  </si>
  <si>
    <t>163</t>
  </si>
  <si>
    <t>Nguyễn Thị Chuốt</t>
  </si>
  <si>
    <t>164</t>
  </si>
  <si>
    <t>Nguyễn Kiện</t>
  </si>
  <si>
    <t>165</t>
  </si>
  <si>
    <t>166</t>
  </si>
  <si>
    <t>Nguyễn Xin</t>
  </si>
  <si>
    <t>Lô 9</t>
  </si>
  <si>
    <t>167</t>
  </si>
  <si>
    <t>Hồ Tuấn</t>
  </si>
  <si>
    <t>168</t>
  </si>
  <si>
    <t>169</t>
  </si>
  <si>
    <t>Đặng Dốn</t>
  </si>
  <si>
    <t>170</t>
  </si>
  <si>
    <t>171</t>
  </si>
  <si>
    <t>Phạm Giàu</t>
  </si>
  <si>
    <t>172</t>
  </si>
  <si>
    <t>173</t>
  </si>
  <si>
    <t>174</t>
  </si>
  <si>
    <t>175</t>
  </si>
  <si>
    <t>Phạm Thị Tứ</t>
  </si>
  <si>
    <t>176</t>
  </si>
  <si>
    <t>Đặng Lào</t>
  </si>
  <si>
    <t>177</t>
  </si>
  <si>
    <t>Dương Thị Tâm</t>
  </si>
  <si>
    <t>178</t>
  </si>
  <si>
    <t>Phan Thị Thời</t>
  </si>
  <si>
    <t>179</t>
  </si>
  <si>
    <t>Đặng Phước</t>
  </si>
  <si>
    <t>180</t>
  </si>
  <si>
    <t>Đặng Văn Bảy</t>
  </si>
  <si>
    <t>10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</si>
  <si>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</si>
  <si>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</si>
  <si>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</si>
  <si>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</si>
  <si>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</si>
  <si>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</si>
  <si>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</si>
  <si>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</si>
  <si>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</si>
  <si>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</si>
  <si>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</si>
  <si>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</si>
  <si>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</si>
  <si>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</si>
  <si>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</si>
  <si>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</si>
  <si>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</si>
  <si>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</si>
  <si>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</si>
  <si>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</si>
  <si>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</si>
  <si>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</si>
  <si>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</si>
  <si>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</si>
  <si>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</si>
  <si>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</si>
  <si>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</si>
  <si>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</si>
  <si>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</si>
  <si>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</si>
  <si>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</si>
  <si>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</si>
  <si>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</si>
  <si>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</si>
  <si>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</si>
  <si>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</si>
  <si>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</si>
  <si>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</si>
  <si>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</si>
  <si>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</si>
  <si>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</si>
  <si>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</si>
  <si>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</si>
  <si>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</si>
  <si>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</si>
  <si>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</si>
  <si>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</si>
  <si>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</si>
  <si>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</si>
  <si>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</si>
  <si>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</si>
  <si>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</si>
  <si>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</si>
  <si>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</si>
  <si>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</si>
  <si>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</si>
  <si>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</si>
  <si>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</si>
  <si>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</si>
  <si>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</si>
  <si>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</si>
  <si>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</si>
  <si>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</si>
  <si>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</si>
  <si>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</si>
  <si>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</si>
  <si>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</si>
  <si>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</si>
  <si>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</si>
  <si>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</si>
  <si>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</si>
  <si>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</si>
  <si>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</si>
  <si>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</si>
  <si>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</si>
  <si>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</si>
  <si>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</si>
  <si>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</si>
  <si>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</si>
  <si>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</si>
  <si>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</si>
  <si>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</si>
  <si>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</si>
  <si>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</si>
  <si>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</si>
  <si>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</si>
  <si>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</si>
  <si>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</si>
  <si>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</si>
  <si>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</si>
  <si>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</si>
  <si>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</si>
  <si>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</si>
  <si>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</si>
  <si>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</si>
  <si>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</si>
  <si>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</si>
  <si>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</si>
  <si>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</si>
  <si>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</si>
  <si>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</si>
  <si>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</si>
  <si>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</si>
  <si>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</si>
  <si>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</si>
  <si>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</si>
  <si>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</si>
  <si>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</si>
  <si>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</si>
  <si>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</si>
  <si>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</si>
  <si>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</si>
  <si>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</si>
  <si>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</si>
  <si>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</si>
  <si>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</si>
  <si>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</si>
  <si>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</si>
  <si>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</si>
  <si>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</si>
  <si>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</si>
  <si>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</si>
  <si>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</si>
  <si>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</si>
  <si>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</si>
  <si>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</si>
  <si>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</si>
  <si>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</si>
  <si>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</si>
  <si>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</si>
  <si>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</si>
  <si>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</si>
  <si>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</si>
  <si>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CỘNG</t>
  </si>
  <si>
    <t>Võ Lai</t>
  </si>
  <si>
    <t>Lô 20</t>
  </si>
  <si>
    <t>Võ Thị Hoa</t>
  </si>
  <si>
    <t>Đặng Tiếu</t>
  </si>
  <si>
    <t>Đặng Điện</t>
  </si>
  <si>
    <t>Võ Trợ</t>
  </si>
  <si>
    <t>Đặng Thiệu</t>
  </si>
  <si>
    <t>Nguyễn Hồng</t>
  </si>
  <si>
    <t>Phạm Thị Thu Phương</t>
  </si>
  <si>
    <t>Nguyễn Thị Sở</t>
  </si>
  <si>
    <t>Đặng Lý</t>
  </si>
  <si>
    <t>Lô 21</t>
  </si>
  <si>
    <t>Nguyễn Ngọc Sơn</t>
  </si>
  <si>
    <t>Nguyễn Yên</t>
  </si>
  <si>
    <t>Võ Văn Phi Hùng</t>
  </si>
  <si>
    <t>Nguyễn Mỹ</t>
  </si>
  <si>
    <t>Nguyễn Thị Mẫn</t>
  </si>
  <si>
    <t>Đặng Ninh</t>
  </si>
  <si>
    <t>Nguyễn Thị Kiêu</t>
  </si>
  <si>
    <t>Ngô Nghĩa</t>
  </si>
  <si>
    <t>Đặng Văn Dũng (Tổ 3)</t>
  </si>
  <si>
    <t>Nguyễn Thị Mai</t>
  </si>
  <si>
    <t>Phạm Thị Hiệp</t>
  </si>
  <si>
    <t>Đặng Thành</t>
  </si>
  <si>
    <t>Đặng Thành Phương</t>
  </si>
  <si>
    <t>Đặng Tấn</t>
  </si>
  <si>
    <t>Nguyễn Hường</t>
  </si>
  <si>
    <t>Lô 22</t>
  </si>
  <si>
    <t>Đặng Thạch</t>
  </si>
  <si>
    <t>Nguyễn Thị Trung</t>
  </si>
  <si>
    <t>Nguyễn Xí</t>
  </si>
  <si>
    <t>Đặng Tơ</t>
  </si>
  <si>
    <t>Phùng Thị Nga</t>
  </si>
  <si>
    <t>Đinh Thị Hường</t>
  </si>
  <si>
    <t>Đặng Thị Khuyến</t>
  </si>
  <si>
    <t>Trần Văn Minh</t>
  </si>
  <si>
    <t>Nguyễn Thị Hữu</t>
  </si>
  <si>
    <t>Nguyễn Mộng Hùng</t>
  </si>
  <si>
    <t>Đặng Văn Em</t>
  </si>
  <si>
    <t>Lô 23</t>
  </si>
  <si>
    <t>Nguyễn Thị Xão</t>
  </si>
  <si>
    <t>Nguyễn Châu</t>
  </si>
  <si>
    <t>Nguyễn Sàng</t>
  </si>
  <si>
    <t>Trần Mậu Thức</t>
  </si>
  <si>
    <t>Nguyễn Sảy</t>
  </si>
  <si>
    <t>Đặng Thị Nhường</t>
  </si>
  <si>
    <t>Thái Thị Hiệp</t>
  </si>
  <si>
    <t>Võ Thị Nam</t>
  </si>
  <si>
    <t>Nguyễn Thị Tri</t>
  </si>
  <si>
    <t>Đặng Ngọc Liên</t>
  </si>
  <si>
    <t>Đặng Nhì</t>
  </si>
  <si>
    <t>Lô 24</t>
  </si>
  <si>
    <t>Đặng Tình</t>
  </si>
  <si>
    <t>Nguyễn Thị Dung</t>
  </si>
  <si>
    <t>Lê Thị Chát</t>
  </si>
  <si>
    <t>Nguyễn Ngọc Quý</t>
  </si>
  <si>
    <t>Đặng Nghĩa</t>
  </si>
  <si>
    <t>Huỳnh Thị Loan</t>
  </si>
  <si>
    <t>Đặng Minh Thành</t>
  </si>
  <si>
    <t>Lô 25</t>
  </si>
  <si>
    <t>Đặng Thị Mười</t>
  </si>
  <si>
    <t>Đặng Hồng (Truật)</t>
  </si>
  <si>
    <t>Nguyễn Ân</t>
  </si>
  <si>
    <t>Lô 26</t>
  </si>
  <si>
    <t>Nguyễn Hồng (Cẩm)</t>
  </si>
  <si>
    <t>Nguyễn Thị Quýt</t>
  </si>
  <si>
    <t>Nguyễn Mười</t>
  </si>
  <si>
    <t>Nguyễn Phương</t>
  </si>
  <si>
    <t>Nguyễn Thị Đủ</t>
  </si>
  <si>
    <t>Võ Thị Bằng</t>
  </si>
  <si>
    <t>Nguyễn Thị Huệ</t>
  </si>
  <si>
    <t>Ngô Thị Yến</t>
  </si>
  <si>
    <t>Nguyễn Hùng Sơn</t>
  </si>
  <si>
    <t>Lô 27</t>
  </si>
  <si>
    <t>Đặng Thị Phú</t>
  </si>
  <si>
    <t>Phạm Thị Kim</t>
  </si>
  <si>
    <t>Võ Kỹ</t>
  </si>
  <si>
    <t>Nguyễn Thị Thịnh</t>
  </si>
  <si>
    <t>Phạm Thị Nghĩ</t>
  </si>
  <si>
    <t>Lô 28</t>
  </si>
  <si>
    <t>Võ Thị Hữu</t>
  </si>
  <si>
    <t>Đặng Huấn</t>
  </si>
  <si>
    <t>Đặng Lạc</t>
  </si>
  <si>
    <t>Đặng Thị Tuôi</t>
  </si>
  <si>
    <t>Nguyễn Thị Hường</t>
  </si>
  <si>
    <t>Lô 29</t>
  </si>
  <si>
    <t>Nguyễn Thị Cẩm</t>
  </si>
  <si>
    <t>Đặng Lư</t>
  </si>
  <si>
    <t>Phạm Thị Tý</t>
  </si>
  <si>
    <t>Nguyễn Thị Vọng</t>
  </si>
  <si>
    <t>Nguyễn Tàng</t>
  </si>
  <si>
    <t>Đặng Kế</t>
  </si>
  <si>
    <t>Võ Nông</t>
  </si>
  <si>
    <t>Nguyễn Thị Chúc</t>
  </si>
  <si>
    <t>Lô 30</t>
  </si>
  <si>
    <t>Nguyễn Đức Thắng</t>
  </si>
  <si>
    <t>Phạm Phú Tế</t>
  </si>
  <si>
    <t>Nguyễn Thị Thương</t>
  </si>
  <si>
    <t>Lô 31</t>
  </si>
  <si>
    <t>Võ Sản</t>
  </si>
  <si>
    <t>Ngô Thanh Hùng</t>
  </si>
  <si>
    <t>Trần Thị Huệ</t>
  </si>
  <si>
    <t>Đặng Thị Lan</t>
  </si>
  <si>
    <t>Lê Phương</t>
  </si>
  <si>
    <t>Đặng Thị Xáng</t>
  </si>
  <si>
    <t>Đặng Minh Hùng</t>
  </si>
  <si>
    <t>Lô 32</t>
  </si>
  <si>
    <t>Doãn Thùy</t>
  </si>
  <si>
    <t>Nguyễn Phượng</t>
  </si>
  <si>
    <t>Nguyễn Thị Anh</t>
  </si>
  <si>
    <t>Trương Thị Dạng</t>
  </si>
  <si>
    <t>Đặng Truật</t>
  </si>
  <si>
    <t>Nguyễn Hà</t>
  </si>
  <si>
    <t>Ngô Thị Hình</t>
  </si>
  <si>
    <t>Nguyễn Tàu</t>
  </si>
  <si>
    <t>Lô 33</t>
  </si>
  <si>
    <t>Nguyễn Khanh</t>
  </si>
  <si>
    <t>Nguyễn Thị Liều</t>
  </si>
  <si>
    <t>Nguyễn Thị Đinh</t>
  </si>
  <si>
    <t>Nguyễn Trường Sơn</t>
  </si>
  <si>
    <t>Nguyễn Anh Phương</t>
  </si>
  <si>
    <t>Phạm Rô</t>
  </si>
  <si>
    <t>Đặng Hiệp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</si>
  <si>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</si>
  <si>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</si>
  <si>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</si>
  <si>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</si>
  <si>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</si>
  <si>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</si>
  <si>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</si>
  <si>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</si>
  <si>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</si>
  <si>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</si>
  <si>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</si>
  <si>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</si>
  <si>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</si>
  <si>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</si>
  <si>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</si>
  <si>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181</t>
  </si>
  <si>
    <t>182</t>
  </si>
  <si>
    <t>183</t>
  </si>
  <si>
    <t>184</t>
  </si>
  <si>
    <t>185</t>
  </si>
  <si>
    <t>Lô 4(Thớt 1)</t>
  </si>
  <si>
    <t>Nguyễn Thị Tường</t>
  </si>
  <si>
    <t>Đặng Chinh</t>
  </si>
  <si>
    <t>Nguyễn Thị Bình</t>
  </si>
  <si>
    <t>Nguyễn Cam</t>
  </si>
  <si>
    <t>Nguyễn Nhơn</t>
  </si>
  <si>
    <t>Đặng Văn Nhất</t>
  </si>
  <si>
    <t>Võ Mười</t>
  </si>
  <si>
    <t>Đặng Thử</t>
  </si>
  <si>
    <t>Lô 4(Thớt 2)</t>
  </si>
  <si>
    <t>Phạm Thị Liên</t>
  </si>
  <si>
    <t>Phạm Thị Lang</t>
  </si>
  <si>
    <t>Đinh Lương</t>
  </si>
  <si>
    <t>Phạm Thị Chức</t>
  </si>
  <si>
    <t>Lê Minh Cảnh</t>
  </si>
  <si>
    <t>Võ Thị Huệ</t>
  </si>
  <si>
    <t>Nguyễn Văn Tích</t>
  </si>
  <si>
    <t>Bùi Thị Gái</t>
  </si>
  <si>
    <t>Đặng Toàn</t>
  </si>
  <si>
    <t>Đặng Thị Đoan</t>
  </si>
  <si>
    <t>Võ Thị Kiểu</t>
  </si>
  <si>
    <t>Chủ đất</t>
  </si>
  <si>
    <t>Hộ sản xuất</t>
  </si>
  <si>
    <t>Lô</t>
  </si>
  <si>
    <t>Thành tiền</t>
  </si>
  <si>
    <t>Diện
 tích</t>
  </si>
  <si>
    <t>ĐẠI DIỆN BND THÔN AN TRẠCH</t>
  </si>
  <si>
    <t>ĐẠI DIỆN HTX HÒA TIẾN 2</t>
  </si>
  <si>
    <t>Đặng Thanh</t>
  </si>
  <si>
    <t>Lê Thị Cúc</t>
  </si>
  <si>
    <t>Nguyễn Văn Cường</t>
  </si>
  <si>
    <t>Đặng Trung Hiếu</t>
  </si>
  <si>
    <t>Nguyễn Nhí</t>
  </si>
  <si>
    <t>Đơn giá</t>
  </si>
  <si>
    <t>Lô Kẹp Ao</t>
  </si>
  <si>
    <t>Diện tích
m2</t>
  </si>
  <si>
    <t>Nguyễn Tàn</t>
  </si>
  <si>
    <t>Nguyễn Nhựt</t>
  </si>
  <si>
    <t>Đặng Minh Hoàng</t>
  </si>
  <si>
    <t>Nguyễn Thị Thôi</t>
  </si>
  <si>
    <t>Đặng Thị Phấn</t>
  </si>
  <si>
    <t>Đặng Ký</t>
  </si>
  <si>
    <t>Võ Đình Phú</t>
  </si>
  <si>
    <t>Nguyễn Sơn</t>
  </si>
  <si>
    <t>Đinh Thị Em</t>
  </si>
  <si>
    <t>Nguyễn Thị Miên</t>
  </si>
  <si>
    <t>Đặng Văn Đông</t>
  </si>
  <si>
    <t>H1</t>
  </si>
  <si>
    <t>Nguyễn Văn Thành</t>
  </si>
  <si>
    <t>Lê Thị Thanh</t>
  </si>
  <si>
    <t>H2</t>
  </si>
  <si>
    <t>Doãn Quýt</t>
  </si>
  <si>
    <t xml:space="preserve">Nguyễn Thị Lan </t>
  </si>
  <si>
    <t>Đặng Thị Lự</t>
  </si>
  <si>
    <t>Gò ổi</t>
  </si>
  <si>
    <t>La Bông Tây</t>
  </si>
  <si>
    <t>186</t>
  </si>
  <si>
    <t>Giống cấp</t>
  </si>
  <si>
    <t>Mua thêm</t>
  </si>
  <si>
    <t>LB Tây</t>
  </si>
  <si>
    <t>La Châu</t>
  </si>
  <si>
    <t>Đặng Công Khanh</t>
  </si>
  <si>
    <t>Đặng Ngọc Long</t>
  </si>
  <si>
    <t>Phạm Thị Như</t>
  </si>
  <si>
    <t>Đặng Văn Dũng-T3</t>
  </si>
  <si>
    <t>Đặng Hiển</t>
  </si>
  <si>
    <t>Nguyễn Hơn</t>
  </si>
  <si>
    <t>Nguyễn Thuận</t>
  </si>
  <si>
    <t>Mã Văn Cường</t>
  </si>
  <si>
    <t>Nguyễn Anh Phúc</t>
  </si>
  <si>
    <t>Đặng Thị Bích Sơn</t>
  </si>
  <si>
    <t>Nguyễn Ngọc Bài</t>
  </si>
  <si>
    <t>Nguyễn Thị Ngự</t>
  </si>
  <si>
    <t>Nguyễn Văn Vinh</t>
  </si>
  <si>
    <t>Ngô Thị Thanh Thảo</t>
  </si>
  <si>
    <t>Nguyễn Thị Minh Hiếu</t>
  </si>
  <si>
    <t>Nguyễn Thị Huynh</t>
  </si>
  <si>
    <t>Ký nhận</t>
  </si>
  <si>
    <t>Võ Dự</t>
  </si>
  <si>
    <t>Phạm Nhân</t>
  </si>
  <si>
    <t>Lô 1</t>
  </si>
  <si>
    <t>Đặng Thị Bạn</t>
  </si>
  <si>
    <t>Nguyễn Minh Tâm</t>
  </si>
  <si>
    <t>Võ Khải</t>
  </si>
  <si>
    <t>Võ Đá</t>
  </si>
  <si>
    <t>Nguyễn Thị Thu Thanh</t>
  </si>
  <si>
    <t>Lê Thị Bông</t>
  </si>
  <si>
    <t>Võ Tuấn Hải</t>
  </si>
  <si>
    <t>Võ Hoàng Đại Việt</t>
  </si>
  <si>
    <t>Lô 2</t>
  </si>
  <si>
    <t>Nguyễn Hồng Sơn</t>
  </si>
  <si>
    <t>Nguyễn Hoàng Lâm</t>
  </si>
  <si>
    <t>Đặng Năng</t>
  </si>
  <si>
    <t>Đặng Văn Mười</t>
  </si>
  <si>
    <t>Đặng Chiến</t>
  </si>
  <si>
    <t>Đặng Chiến-B</t>
  </si>
  <si>
    <t>Phạm Ngữ</t>
  </si>
  <si>
    <t>Đặng Văn Quang</t>
  </si>
  <si>
    <t>Lô 3</t>
  </si>
  <si>
    <t>Nguyễn Nho</t>
  </si>
  <si>
    <t>Trần Mai Trường</t>
  </si>
  <si>
    <t>Nguyễn Thị Thanh Vĩ</t>
  </si>
  <si>
    <t>Đinh Thị Thương</t>
  </si>
  <si>
    <t>Nguyễn Lâm</t>
  </si>
  <si>
    <t>Đặng Hồng - Học</t>
  </si>
  <si>
    <t>Đặng Học</t>
  </si>
  <si>
    <t>Đinh Lệ</t>
  </si>
  <si>
    <t>Nguyễn Đính</t>
  </si>
  <si>
    <t>Hồ Thị Vân</t>
  </si>
  <si>
    <t>Lô 5</t>
  </si>
  <si>
    <t>Lê Văn Hồng</t>
  </si>
  <si>
    <t>Hồ Hoàng Kiếm</t>
  </si>
  <si>
    <t>Lê Thị Tằm</t>
  </si>
  <si>
    <t>Đặng Sơn</t>
  </si>
  <si>
    <t>Trương Thị Tàu</t>
  </si>
  <si>
    <t>Trần Thị Nga</t>
  </si>
  <si>
    <t>Nguyễn Thị Được</t>
  </si>
  <si>
    <t>Đinh Ngọc Em</t>
  </si>
  <si>
    <t>Đặng Thị Nhỏ</t>
  </si>
  <si>
    <t>Võ Trung Thành</t>
  </si>
  <si>
    <t>Lô 6</t>
  </si>
  <si>
    <t>Đặng Văn Hùng - Oai</t>
  </si>
  <si>
    <t>Nguyễn Côi</t>
  </si>
  <si>
    <t>Võ Sang</t>
  </si>
  <si>
    <t>Nguyễn Tám</t>
  </si>
  <si>
    <t>Nguyễn Thị Phúc</t>
  </si>
  <si>
    <t>Võ Thị Thu</t>
  </si>
  <si>
    <t>Nguyễn Xuân</t>
  </si>
  <si>
    <t>Đặng Xuân Nhân</t>
  </si>
  <si>
    <t>Đặng Thị Xuân</t>
  </si>
  <si>
    <t>Đặng Hoàng Bình</t>
  </si>
  <si>
    <t>Lô 7</t>
  </si>
  <si>
    <t>Võ Sáu</t>
  </si>
  <si>
    <t>Bùi Hiếu Mạnh</t>
  </si>
  <si>
    <t>Võ Thị Thủy</t>
  </si>
  <si>
    <t>Lê Thị Tơ</t>
  </si>
  <si>
    <t>Lô 10</t>
  </si>
  <si>
    <t>Đặng Xuân Lư</t>
  </si>
  <si>
    <t>Đặng Mau</t>
  </si>
  <si>
    <t>Phạm Công Anh</t>
  </si>
  <si>
    <t>Nguyễn Thị Xuân Hương</t>
  </si>
  <si>
    <t>Bùi Hiếu Tàu</t>
  </si>
  <si>
    <t>Bùi Đức</t>
  </si>
  <si>
    <t>Nguyễn Ngọc Ngân</t>
  </si>
  <si>
    <t>Đặng Thị Tương</t>
  </si>
  <si>
    <t>Lô 11</t>
  </si>
  <si>
    <t>Trương Thị Thu Trang</t>
  </si>
  <si>
    <t>Đặng Lộc</t>
  </si>
  <si>
    <t>Đặng Thị Ngọc Bích</t>
  </si>
  <si>
    <t>Lô 12</t>
  </si>
  <si>
    <t>Phạm Thước</t>
  </si>
  <si>
    <t>Phạm Văn Tiến</t>
  </si>
  <si>
    <t>Hồ Liền</t>
  </si>
  <si>
    <t>Phạm Kim Sơn</t>
  </si>
  <si>
    <t>Trần Thị Ân</t>
  </si>
  <si>
    <t>Võ Nha</t>
  </si>
  <si>
    <t>Nguyễn Thị Bốn</t>
  </si>
  <si>
    <t>Phạm Phú Quốc</t>
  </si>
  <si>
    <t>Đặng Thị Hồng</t>
  </si>
  <si>
    <t>Đặng Thống</t>
  </si>
  <si>
    <t>Phạm Thị Pha</t>
  </si>
  <si>
    <t>Nguyễn Thị Liễu</t>
  </si>
  <si>
    <t>Nguyễn Đức Thanh</t>
  </si>
  <si>
    <t>Nguyễn Thị Phượng</t>
  </si>
  <si>
    <t>Đặng Xí</t>
  </si>
  <si>
    <t>Võ Thị Thi</t>
  </si>
  <si>
    <t>Đặng Thứ</t>
  </si>
  <si>
    <t>Đặng Thị Hoa</t>
  </si>
  <si>
    <t>Đặng Ngọc Tiến</t>
  </si>
  <si>
    <t>Đặng Thị Liễu</t>
  </si>
  <si>
    <t>Nguyễn Trung Hiếu</t>
  </si>
  <si>
    <t>Huỳnh Đức Thuận</t>
  </si>
  <si>
    <t>Vệ Thị Bé</t>
  </si>
  <si>
    <t>Vệ Phú Hải</t>
  </si>
  <si>
    <t>Nguyễn Thị Thu Nga</t>
  </si>
  <si>
    <t>Nguyễn Hà (L)</t>
  </si>
  <si>
    <t>Võ Thị Sinh</t>
  </si>
  <si>
    <t>Nguyễn Thị Loan</t>
  </si>
  <si>
    <t>Phạm Ngọc Hiệp</t>
  </si>
  <si>
    <t>Đặng Văn Quốc</t>
  </si>
  <si>
    <t>Đặng Thị Hòa</t>
  </si>
  <si>
    <t>Đặng Văn Lai</t>
  </si>
  <si>
    <t>Đặng Liễu</t>
  </si>
  <si>
    <t>Nguyễn Văn Hồng</t>
  </si>
  <si>
    <t>Nguyễn Tư</t>
  </si>
  <si>
    <t>Nguyễn Văn Vinh (T)</t>
  </si>
  <si>
    <t>Võ Thị Kim Thanh</t>
  </si>
  <si>
    <t>Đặng Tân</t>
  </si>
  <si>
    <t>Doãn Đình Dương</t>
  </si>
  <si>
    <t>Nguyễn Thanh Sơn</t>
  </si>
  <si>
    <t>Nguyễn Văn Hùng</t>
  </si>
  <si>
    <t>Lê Thị Bé</t>
  </si>
  <si>
    <t>Đặng Đào</t>
  </si>
  <si>
    <t>Đặng Văn Châu</t>
  </si>
  <si>
    <t>Nguyễn Thị Hiếu</t>
  </si>
  <si>
    <t>Đinh Thị Vân</t>
  </si>
  <si>
    <t>Vườn</t>
  </si>
  <si>
    <t>CBB</t>
  </si>
  <si>
    <t>SẢN XUẤT J02</t>
  </si>
  <si>
    <t>SẢN XUẤT HG12</t>
  </si>
  <si>
    <t>SẢN XUẤT HG244</t>
  </si>
  <si>
    <t>Đặng Thị Tạo</t>
  </si>
  <si>
    <t>Tỉa đậu</t>
  </si>
  <si>
    <t>Xứ đồng</t>
  </si>
  <si>
    <t>Tổ 9</t>
  </si>
  <si>
    <t>Hà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</si>
</sst>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\ _₫_-;\-* #,##0.0\ _₫_-;_-* &quot;-&quot;?\ _₫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164" fontId="3" fillId="0" borderId="1" xfId="1" applyNumberFormat="1" applyFont="1" applyBorder="1"/>
    <xf numFmtId="0" fontId="4" fillId="0" borderId="1" xfId="0" applyFont="1" applyBorder="1"/>
    <xf numFmtId="0" fontId="3" fillId="0" borderId="1" xfId="0" quotePrefix="1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3" fillId="0" borderId="0" xfId="0" applyFont="1"/>
    <xf numFmtId="164" fontId="4" fillId="0" borderId="1" xfId="1" applyNumberFormat="1" applyFont="1" applyBorder="1"/>
    <xf numFmtId="164" fontId="3" fillId="0" borderId="0" xfId="1" applyNumberFormat="1" applyFont="1"/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65" fontId="3" fillId="0" borderId="1" xfId="0" applyNumberFormat="1" applyFont="1" applyBorder="1"/>
    <xf numFmtId="0" fontId="5" fillId="0" borderId="1" xfId="0" applyFont="1" applyBorder="1"/>
    <xf numFmtId="43" fontId="3" fillId="0" borderId="1" xfId="1" applyFont="1" applyBorder="1"/>
    <xf numFmtId="0" fontId="6" fillId="0" borderId="1" xfId="0" applyFont="1" applyBorder="1" applyAlignment="1">
      <alignment horizontal="center" vertical="center"/>
    </xf>
    <xf numFmtId="49" fontId="5" fillId="0" borderId="1" xfId="0" applyNumberFormat="1" applyFont="1" applyBorder="1"/>
    <xf numFmtId="0" fontId="7" fillId="0" borderId="1" xfId="0" applyFont="1" applyBorder="1"/>
    <xf numFmtId="49" fontId="7" fillId="0" borderId="1" xfId="0" applyNumberFormat="1" applyFont="1" applyBorder="1"/>
    <xf numFmtId="0" fontId="7" fillId="0" borderId="0" xfId="0" applyFont="1"/>
    <xf numFmtId="0" fontId="0" fillId="0" borderId="1" xfId="0" applyBorder="1"/>
    <xf numFmtId="166" fontId="3" fillId="0" borderId="1" xfId="0" applyNumberFormat="1" applyFont="1" applyBorder="1"/>
    <xf numFmtId="0" fontId="8" fillId="0" borderId="1" xfId="0" applyFont="1" applyBorder="1"/>
    <xf numFmtId="49" fontId="5" fillId="2" borderId="1" xfId="0" applyNumberFormat="1" applyFont="1" applyFill="1" applyBorder="1"/>
    <xf numFmtId="0" fontId="5" fillId="2" borderId="1" xfId="0" applyFont="1" applyFill="1" applyBorder="1"/>
    <xf numFmtId="0" fontId="3" fillId="3" borderId="1" xfId="0" applyFont="1" applyFill="1" applyBorder="1"/>
    <xf numFmtId="49" fontId="3" fillId="3" borderId="1" xfId="0" applyNumberFormat="1" applyFont="1" applyFill="1" applyBorder="1"/>
    <xf numFmtId="49" fontId="5" fillId="4" borderId="1" xfId="0" applyNumberFormat="1" applyFont="1" applyFill="1" applyBorder="1"/>
    <xf numFmtId="0" fontId="5" fillId="4" borderId="1" xfId="0" applyFont="1" applyFill="1" applyBorder="1"/>
    <xf numFmtId="49" fontId="5" fillId="3" borderId="1" xfId="0" applyNumberFormat="1" applyFont="1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A43E-7ED4-4143-92F6-DEE38ECEB094}">
  <dimension ref="A1:H145"/>
  <sheetViews>
    <sheetView topLeftCell="A125" zoomScaleNormal="100" workbookViewId="0">
      <selection activeCell="D143" sqref="D143"/>
    </sheetView>
  </sheetViews>
  <sheetFormatPr defaultColWidth="9.1796875" defaultRowHeight="16.5" x14ac:dyDescent="0.35"/>
  <cols>
    <col min="1" max="1" width="5.453125" style="6" bestFit="1" customWidth="1"/>
    <col min="2" max="2" width="21.1796875" style="6" customWidth="1"/>
    <col min="3" max="4" width="29.453125" style="20" customWidth="1"/>
    <col min="5" max="5" width="14" style="6" bestFit="1" customWidth="1"/>
    <col min="6" max="6" width="11" style="8" customWidth="1"/>
    <col min="7" max="7" width="11.453125" style="6" bestFit="1" customWidth="1"/>
    <col min="8" max="8" width="14.453125" style="6" customWidth="1"/>
    <col min="9" max="16384" width="9.1796875" style="6"/>
  </cols>
  <sheetData>
    <row r="1" spans="1:8" x14ac:dyDescent="0.35">
      <c r="A1" s="33" t="s">
        <v>612</v>
      </c>
      <c r="B1" s="33"/>
      <c r="C1" s="33"/>
      <c r="D1" s="33"/>
      <c r="E1" s="33"/>
      <c r="F1" s="33"/>
      <c r="G1" s="33"/>
      <c r="H1" s="33"/>
    </row>
    <row r="3" spans="1:8" ht="33" x14ac:dyDescent="0.35">
      <c r="A3" s="9" t="s">
        <v>64</v>
      </c>
      <c r="B3" s="9" t="s">
        <v>433</v>
      </c>
      <c r="C3" s="16" t="s">
        <v>434</v>
      </c>
      <c r="D3" s="16" t="s">
        <v>615</v>
      </c>
      <c r="E3" s="9" t="s">
        <v>435</v>
      </c>
      <c r="F3" s="10" t="s">
        <v>437</v>
      </c>
      <c r="G3" s="9" t="s">
        <v>469</v>
      </c>
      <c r="H3" s="9" t="s">
        <v>436</v>
      </c>
    </row>
    <row r="4" spans="1:8" x14ac:dyDescent="0.35">
      <c r="A4" s="9">
        <v>1</v>
      </c>
      <c r="B4" s="9">
        <v>2</v>
      </c>
      <c r="C4" s="16">
        <v>3</v>
      </c>
      <c r="D4" s="16"/>
      <c r="E4" s="9">
        <v>4</v>
      </c>
      <c r="F4" s="9">
        <v>5</v>
      </c>
      <c r="G4" s="9">
        <v>6</v>
      </c>
      <c r="H4" s="9">
        <v>9</v>
      </c>
    </row>
    <row r="5" spans="1:8" x14ac:dyDescent="0.35">
      <c r="A5" s="3" t="s">
        <v>135</v>
      </c>
      <c r="B5" s="4" t="s">
        <v>46</v>
      </c>
      <c r="C5" s="17" t="s">
        <v>520</v>
      </c>
      <c r="D5" s="17" t="s">
        <v>616</v>
      </c>
      <c r="E5" s="4" t="s">
        <v>412</v>
      </c>
      <c r="F5" s="1">
        <v>300</v>
      </c>
      <c r="G5" s="13">
        <f>(6/500)*F5</f>
        <v>3.6</v>
      </c>
      <c r="H5" s="4"/>
    </row>
    <row r="6" spans="1:8" x14ac:dyDescent="0.35">
      <c r="A6" s="3" t="s">
        <v>136</v>
      </c>
      <c r="B6" s="4" t="s">
        <v>17</v>
      </c>
      <c r="C6" s="17" t="s">
        <v>520</v>
      </c>
      <c r="D6" s="17" t="s">
        <v>616</v>
      </c>
      <c r="E6" s="4" t="s">
        <v>412</v>
      </c>
      <c r="F6" s="1">
        <v>350</v>
      </c>
      <c r="G6" s="13">
        <f t="shared" ref="G6:G69" si="0">(6/500)*F6</f>
        <v>4.2</v>
      </c>
      <c r="H6" s="4"/>
    </row>
    <row r="7" spans="1:8" x14ac:dyDescent="0.35">
      <c r="A7" s="3" t="s">
        <v>137</v>
      </c>
      <c r="B7" s="4" t="s">
        <v>413</v>
      </c>
      <c r="C7" s="17" t="s">
        <v>520</v>
      </c>
      <c r="D7" s="17" t="s">
        <v>616</v>
      </c>
      <c r="E7" s="4" t="s">
        <v>412</v>
      </c>
      <c r="F7" s="1">
        <v>350</v>
      </c>
      <c r="G7" s="13">
        <f t="shared" si="0"/>
        <v>4.2</v>
      </c>
      <c r="H7" s="4"/>
    </row>
    <row r="8" spans="1:8" x14ac:dyDescent="0.35">
      <c r="A8" s="3" t="s">
        <v>138</v>
      </c>
      <c r="B8" s="4" t="s">
        <v>391</v>
      </c>
      <c r="C8" s="17" t="s">
        <v>520</v>
      </c>
      <c r="D8" s="17" t="s">
        <v>616</v>
      </c>
      <c r="E8" s="4" t="s">
        <v>412</v>
      </c>
      <c r="F8" s="1">
        <v>340</v>
      </c>
      <c r="G8" s="13">
        <f t="shared" si="0"/>
        <v>4.08</v>
      </c>
      <c r="H8" s="4"/>
    </row>
    <row r="9" spans="1:8" x14ac:dyDescent="0.35">
      <c r="A9" s="3" t="s">
        <v>139</v>
      </c>
      <c r="B9" s="4" t="s">
        <v>133</v>
      </c>
      <c r="C9" s="17" t="s">
        <v>520</v>
      </c>
      <c r="D9" s="17" t="s">
        <v>616</v>
      </c>
      <c r="E9" s="4" t="s">
        <v>412</v>
      </c>
      <c r="F9" s="1">
        <v>340</v>
      </c>
      <c r="G9" s="13">
        <f t="shared" si="0"/>
        <v>4.08</v>
      </c>
      <c r="H9" s="4"/>
    </row>
    <row r="10" spans="1:8" x14ac:dyDescent="0.35">
      <c r="A10" s="3" t="s">
        <v>140</v>
      </c>
      <c r="B10" s="4" t="s">
        <v>276</v>
      </c>
      <c r="C10" s="17" t="s">
        <v>276</v>
      </c>
      <c r="D10" s="17" t="s">
        <v>616</v>
      </c>
      <c r="E10" s="4" t="s">
        <v>412</v>
      </c>
      <c r="F10" s="1">
        <v>420</v>
      </c>
      <c r="G10" s="13">
        <f t="shared" si="0"/>
        <v>5.04</v>
      </c>
      <c r="H10" s="4"/>
    </row>
    <row r="11" spans="1:8" x14ac:dyDescent="0.35">
      <c r="A11" s="3" t="s">
        <v>141</v>
      </c>
      <c r="B11" s="4" t="s">
        <v>414</v>
      </c>
      <c r="C11" s="17" t="s">
        <v>573</v>
      </c>
      <c r="D11" s="17" t="s">
        <v>616</v>
      </c>
      <c r="E11" s="4" t="s">
        <v>412</v>
      </c>
      <c r="F11" s="1">
        <v>600</v>
      </c>
      <c r="G11" s="13">
        <f t="shared" si="0"/>
        <v>7.2</v>
      </c>
      <c r="H11" s="4"/>
    </row>
    <row r="12" spans="1:8" x14ac:dyDescent="0.35">
      <c r="A12" s="3" t="s">
        <v>142</v>
      </c>
      <c r="B12" s="4" t="s">
        <v>66</v>
      </c>
      <c r="C12" s="14" t="s">
        <v>66</v>
      </c>
      <c r="D12" s="17" t="s">
        <v>616</v>
      </c>
      <c r="E12" s="4" t="s">
        <v>412</v>
      </c>
      <c r="F12" s="1">
        <v>360</v>
      </c>
      <c r="G12" s="13">
        <f t="shared" si="0"/>
        <v>4.32</v>
      </c>
      <c r="H12" s="4"/>
    </row>
    <row r="13" spans="1:8" x14ac:dyDescent="0.35">
      <c r="A13" s="3" t="s">
        <v>143</v>
      </c>
      <c r="B13" s="4" t="s">
        <v>3</v>
      </c>
      <c r="C13" s="14" t="s">
        <v>66</v>
      </c>
      <c r="D13" s="17" t="s">
        <v>616</v>
      </c>
      <c r="E13" s="4" t="s">
        <v>412</v>
      </c>
      <c r="F13" s="1">
        <v>360</v>
      </c>
      <c r="G13" s="13">
        <f t="shared" si="0"/>
        <v>4.32</v>
      </c>
      <c r="H13" s="4"/>
    </row>
    <row r="14" spans="1:8" x14ac:dyDescent="0.35">
      <c r="A14" s="3" t="s">
        <v>134</v>
      </c>
      <c r="B14" s="4" t="s">
        <v>415</v>
      </c>
      <c r="C14" s="17" t="s">
        <v>415</v>
      </c>
      <c r="D14" s="17" t="s">
        <v>616</v>
      </c>
      <c r="E14" s="4" t="s">
        <v>412</v>
      </c>
      <c r="F14" s="1">
        <v>300</v>
      </c>
      <c r="G14" s="13">
        <f t="shared" si="0"/>
        <v>3.6</v>
      </c>
      <c r="H14" s="4"/>
    </row>
    <row r="15" spans="1:8" x14ac:dyDescent="0.35">
      <c r="A15" s="3" t="s">
        <v>144</v>
      </c>
      <c r="B15" s="4" t="s">
        <v>20</v>
      </c>
      <c r="C15" s="17" t="s">
        <v>415</v>
      </c>
      <c r="D15" s="17" t="s">
        <v>616</v>
      </c>
      <c r="E15" s="4" t="s">
        <v>412</v>
      </c>
      <c r="F15" s="1">
        <v>300</v>
      </c>
      <c r="G15" s="13">
        <f t="shared" si="0"/>
        <v>3.6</v>
      </c>
      <c r="H15" s="4"/>
    </row>
    <row r="16" spans="1:8" x14ac:dyDescent="0.35">
      <c r="A16" s="3" t="s">
        <v>145</v>
      </c>
      <c r="B16" s="4" t="s">
        <v>21</v>
      </c>
      <c r="C16" s="17" t="s">
        <v>415</v>
      </c>
      <c r="D16" s="17" t="s">
        <v>616</v>
      </c>
      <c r="E16" s="4" t="s">
        <v>412</v>
      </c>
      <c r="F16" s="1">
        <v>120</v>
      </c>
      <c r="G16" s="13">
        <f t="shared" si="0"/>
        <v>1.44</v>
      </c>
      <c r="H16" s="4"/>
    </row>
    <row r="17" spans="1:8" x14ac:dyDescent="0.35">
      <c r="A17" s="3" t="s">
        <v>146</v>
      </c>
      <c r="B17" s="4" t="s">
        <v>47</v>
      </c>
      <c r="C17" s="17" t="s">
        <v>53</v>
      </c>
      <c r="D17" s="17" t="s">
        <v>616</v>
      </c>
      <c r="E17" s="4" t="s">
        <v>412</v>
      </c>
      <c r="F17" s="1">
        <v>600</v>
      </c>
      <c r="G17" s="13">
        <f t="shared" si="0"/>
        <v>7.2</v>
      </c>
      <c r="H17" s="4"/>
    </row>
    <row r="18" spans="1:8" x14ac:dyDescent="0.35">
      <c r="A18" s="3" t="s">
        <v>147</v>
      </c>
      <c r="B18" s="4" t="s">
        <v>39</v>
      </c>
      <c r="C18" s="17" t="s">
        <v>520</v>
      </c>
      <c r="D18" s="17" t="s">
        <v>616</v>
      </c>
      <c r="E18" s="4" t="s">
        <v>412</v>
      </c>
      <c r="F18" s="1">
        <v>600</v>
      </c>
      <c r="G18" s="13">
        <f t="shared" si="0"/>
        <v>7.2</v>
      </c>
      <c r="H18" s="4"/>
    </row>
    <row r="19" spans="1:8" x14ac:dyDescent="0.35">
      <c r="A19" s="3" t="s">
        <v>148</v>
      </c>
      <c r="B19" s="4" t="s">
        <v>416</v>
      </c>
      <c r="C19" s="17" t="s">
        <v>520</v>
      </c>
      <c r="D19" s="17" t="s">
        <v>616</v>
      </c>
      <c r="E19" s="4" t="s">
        <v>412</v>
      </c>
      <c r="F19" s="1">
        <v>600</v>
      </c>
      <c r="G19" s="13">
        <f t="shared" si="0"/>
        <v>7.2</v>
      </c>
      <c r="H19" s="4"/>
    </row>
    <row r="20" spans="1:8" x14ac:dyDescent="0.35">
      <c r="A20" s="3" t="s">
        <v>149</v>
      </c>
      <c r="B20" s="4" t="s">
        <v>36</v>
      </c>
      <c r="C20" s="17" t="s">
        <v>36</v>
      </c>
      <c r="D20" s="17" t="s">
        <v>616</v>
      </c>
      <c r="E20" s="4" t="s">
        <v>412</v>
      </c>
      <c r="F20" s="1">
        <v>600</v>
      </c>
      <c r="G20" s="13">
        <f t="shared" si="0"/>
        <v>7.2</v>
      </c>
      <c r="H20" s="4"/>
    </row>
    <row r="21" spans="1:8" x14ac:dyDescent="0.35">
      <c r="A21" s="3" t="s">
        <v>150</v>
      </c>
      <c r="B21" s="4" t="s">
        <v>417</v>
      </c>
      <c r="C21" s="17" t="s">
        <v>430</v>
      </c>
      <c r="D21" s="17" t="s">
        <v>616</v>
      </c>
      <c r="E21" s="4" t="s">
        <v>412</v>
      </c>
      <c r="F21" s="1">
        <v>600</v>
      </c>
      <c r="G21" s="13">
        <f t="shared" si="0"/>
        <v>7.2</v>
      </c>
      <c r="H21" s="4"/>
    </row>
    <row r="22" spans="1:8" x14ac:dyDescent="0.35">
      <c r="A22" s="3" t="s">
        <v>151</v>
      </c>
      <c r="B22" s="4" t="s">
        <v>125</v>
      </c>
      <c r="C22" s="17" t="s">
        <v>125</v>
      </c>
      <c r="D22" s="17" t="s">
        <v>616</v>
      </c>
      <c r="E22" s="4" t="s">
        <v>412</v>
      </c>
      <c r="F22" s="1">
        <v>300</v>
      </c>
      <c r="G22" s="13">
        <f t="shared" si="0"/>
        <v>3.6</v>
      </c>
      <c r="H22" s="4"/>
    </row>
    <row r="23" spans="1:8" x14ac:dyDescent="0.35">
      <c r="A23" s="3" t="s">
        <v>152</v>
      </c>
      <c r="B23" s="4" t="s">
        <v>19</v>
      </c>
      <c r="C23" s="17" t="s">
        <v>125</v>
      </c>
      <c r="D23" s="17" t="s">
        <v>616</v>
      </c>
      <c r="E23" s="4" t="s">
        <v>412</v>
      </c>
      <c r="F23" s="1">
        <v>300</v>
      </c>
      <c r="G23" s="13">
        <f t="shared" si="0"/>
        <v>3.6</v>
      </c>
      <c r="H23" s="4"/>
    </row>
    <row r="24" spans="1:8" x14ac:dyDescent="0.35">
      <c r="A24" s="3" t="s">
        <v>153</v>
      </c>
      <c r="B24" s="4" t="s">
        <v>32</v>
      </c>
      <c r="C24" s="5"/>
      <c r="D24" s="17" t="s">
        <v>616</v>
      </c>
      <c r="E24" s="4" t="s">
        <v>412</v>
      </c>
      <c r="F24" s="1">
        <v>300</v>
      </c>
      <c r="G24" s="13">
        <f t="shared" si="0"/>
        <v>3.6</v>
      </c>
      <c r="H24" s="4"/>
    </row>
    <row r="25" spans="1:8" x14ac:dyDescent="0.35">
      <c r="A25" s="3" t="s">
        <v>154</v>
      </c>
      <c r="B25" s="4" t="s">
        <v>418</v>
      </c>
      <c r="C25" s="17" t="s">
        <v>430</v>
      </c>
      <c r="D25" s="17" t="s">
        <v>616</v>
      </c>
      <c r="E25" s="4" t="s">
        <v>412</v>
      </c>
      <c r="F25" s="1">
        <v>300</v>
      </c>
      <c r="G25" s="13">
        <f t="shared" si="0"/>
        <v>3.6</v>
      </c>
      <c r="H25" s="4"/>
    </row>
    <row r="26" spans="1:8" x14ac:dyDescent="0.35">
      <c r="A26" s="3" t="s">
        <v>155</v>
      </c>
      <c r="B26" s="4" t="s">
        <v>10</v>
      </c>
      <c r="C26" s="24" t="s">
        <v>574</v>
      </c>
      <c r="D26" s="17" t="s">
        <v>616</v>
      </c>
      <c r="E26" s="4" t="s">
        <v>412</v>
      </c>
      <c r="F26" s="1">
        <v>300</v>
      </c>
      <c r="G26" s="13">
        <f t="shared" si="0"/>
        <v>3.6</v>
      </c>
      <c r="H26" s="4">
        <v>20</v>
      </c>
    </row>
    <row r="27" spans="1:8" x14ac:dyDescent="0.35">
      <c r="A27" s="3" t="s">
        <v>156</v>
      </c>
      <c r="B27" s="4" t="s">
        <v>419</v>
      </c>
      <c r="C27" s="5"/>
      <c r="D27" s="17" t="s">
        <v>616</v>
      </c>
      <c r="E27" s="4" t="s">
        <v>412</v>
      </c>
      <c r="F27" s="1">
        <v>300</v>
      </c>
      <c r="G27" s="13">
        <f t="shared" si="0"/>
        <v>3.6</v>
      </c>
      <c r="H27" s="4"/>
    </row>
    <row r="28" spans="1:8" x14ac:dyDescent="0.35">
      <c r="A28" s="3" t="s">
        <v>157</v>
      </c>
      <c r="B28" s="4" t="s">
        <v>80</v>
      </c>
      <c r="C28" s="17" t="s">
        <v>80</v>
      </c>
      <c r="D28" s="17" t="s">
        <v>616</v>
      </c>
      <c r="E28" s="4" t="s">
        <v>412</v>
      </c>
      <c r="F28" s="1">
        <v>500</v>
      </c>
      <c r="G28" s="13">
        <f t="shared" si="0"/>
        <v>6</v>
      </c>
      <c r="H28" s="4"/>
    </row>
    <row r="29" spans="1:8" x14ac:dyDescent="0.35">
      <c r="A29" s="3" t="s">
        <v>158</v>
      </c>
      <c r="B29" s="4" t="s">
        <v>420</v>
      </c>
      <c r="C29" s="17" t="s">
        <v>520</v>
      </c>
      <c r="D29" s="17" t="s">
        <v>616</v>
      </c>
      <c r="E29" s="4" t="s">
        <v>421</v>
      </c>
      <c r="F29" s="1">
        <v>250</v>
      </c>
      <c r="G29" s="13">
        <f t="shared" si="0"/>
        <v>3</v>
      </c>
      <c r="H29" s="4"/>
    </row>
    <row r="30" spans="1:8" x14ac:dyDescent="0.35">
      <c r="A30" s="3" t="s">
        <v>159</v>
      </c>
      <c r="B30" s="4" t="s">
        <v>390</v>
      </c>
      <c r="C30" s="17" t="s">
        <v>520</v>
      </c>
      <c r="D30" s="17" t="s">
        <v>616</v>
      </c>
      <c r="E30" s="4" t="s">
        <v>421</v>
      </c>
      <c r="F30" s="1">
        <v>250</v>
      </c>
      <c r="G30" s="13">
        <f t="shared" si="0"/>
        <v>3</v>
      </c>
      <c r="H30" s="4"/>
    </row>
    <row r="31" spans="1:8" x14ac:dyDescent="0.35">
      <c r="A31" s="3" t="s">
        <v>160</v>
      </c>
      <c r="B31" s="4" t="s">
        <v>422</v>
      </c>
      <c r="C31" s="17" t="s">
        <v>520</v>
      </c>
      <c r="D31" s="17" t="s">
        <v>616</v>
      </c>
      <c r="E31" s="4" t="s">
        <v>421</v>
      </c>
      <c r="F31" s="1">
        <v>250</v>
      </c>
      <c r="G31" s="13">
        <f t="shared" si="0"/>
        <v>3</v>
      </c>
      <c r="H31" s="4"/>
    </row>
    <row r="32" spans="1:8" x14ac:dyDescent="0.35">
      <c r="A32" s="3" t="s">
        <v>161</v>
      </c>
      <c r="B32" s="4" t="s">
        <v>423</v>
      </c>
      <c r="C32" s="17" t="s">
        <v>520</v>
      </c>
      <c r="D32" s="17" t="s">
        <v>616</v>
      </c>
      <c r="E32" s="4" t="s">
        <v>421</v>
      </c>
      <c r="F32" s="1">
        <v>250</v>
      </c>
      <c r="G32" s="13">
        <f t="shared" si="0"/>
        <v>3</v>
      </c>
      <c r="H32" s="4"/>
    </row>
    <row r="33" spans="1:8" x14ac:dyDescent="0.35">
      <c r="A33" s="3" t="s">
        <v>162</v>
      </c>
      <c r="B33" s="4" t="s">
        <v>14</v>
      </c>
      <c r="C33" s="17" t="s">
        <v>520</v>
      </c>
      <c r="D33" s="17" t="s">
        <v>616</v>
      </c>
      <c r="E33" s="4" t="s">
        <v>421</v>
      </c>
      <c r="F33" s="1">
        <v>250</v>
      </c>
      <c r="G33" s="13">
        <f t="shared" si="0"/>
        <v>3</v>
      </c>
      <c r="H33" s="4"/>
    </row>
    <row r="34" spans="1:8" x14ac:dyDescent="0.35">
      <c r="A34" s="3" t="s">
        <v>163</v>
      </c>
      <c r="B34" s="4" t="s">
        <v>424</v>
      </c>
      <c r="C34" s="28" t="s">
        <v>55</v>
      </c>
      <c r="D34" s="17" t="s">
        <v>616</v>
      </c>
      <c r="E34" s="4" t="s">
        <v>421</v>
      </c>
      <c r="F34" s="1">
        <v>250</v>
      </c>
      <c r="G34" s="13">
        <f t="shared" si="0"/>
        <v>3</v>
      </c>
      <c r="H34" s="4"/>
    </row>
    <row r="35" spans="1:8" x14ac:dyDescent="0.35">
      <c r="A35" s="3" t="s">
        <v>164</v>
      </c>
      <c r="B35" s="4" t="s">
        <v>425</v>
      </c>
      <c r="C35" s="28" t="s">
        <v>55</v>
      </c>
      <c r="D35" s="17" t="s">
        <v>616</v>
      </c>
      <c r="E35" s="4" t="s">
        <v>421</v>
      </c>
      <c r="F35" s="1">
        <v>250</v>
      </c>
      <c r="G35" s="13">
        <f t="shared" si="0"/>
        <v>3</v>
      </c>
      <c r="H35" s="4"/>
    </row>
    <row r="36" spans="1:8" x14ac:dyDescent="0.35">
      <c r="A36" s="3" t="s">
        <v>165</v>
      </c>
      <c r="B36" s="4" t="s">
        <v>109</v>
      </c>
      <c r="C36" s="17" t="s">
        <v>109</v>
      </c>
      <c r="D36" s="17" t="s">
        <v>616</v>
      </c>
      <c r="E36" s="4" t="s">
        <v>421</v>
      </c>
      <c r="F36" s="1">
        <v>250</v>
      </c>
      <c r="G36" s="13">
        <f t="shared" si="0"/>
        <v>3</v>
      </c>
      <c r="H36" s="4"/>
    </row>
    <row r="37" spans="1:8" x14ac:dyDescent="0.35">
      <c r="A37" s="3" t="s">
        <v>166</v>
      </c>
      <c r="B37" s="4" t="s">
        <v>33</v>
      </c>
      <c r="C37" s="17" t="s">
        <v>33</v>
      </c>
      <c r="D37" s="17" t="s">
        <v>616</v>
      </c>
      <c r="E37" s="4" t="s">
        <v>421</v>
      </c>
      <c r="F37" s="1">
        <v>250</v>
      </c>
      <c r="G37" s="13">
        <f t="shared" si="0"/>
        <v>3</v>
      </c>
      <c r="H37" s="4"/>
    </row>
    <row r="38" spans="1:8" x14ac:dyDescent="0.35">
      <c r="A38" s="3" t="s">
        <v>167</v>
      </c>
      <c r="B38" s="4" t="s">
        <v>426</v>
      </c>
      <c r="C38" s="17" t="s">
        <v>426</v>
      </c>
      <c r="D38" s="17" t="s">
        <v>616</v>
      </c>
      <c r="E38" s="4" t="s">
        <v>421</v>
      </c>
      <c r="F38" s="1">
        <v>250</v>
      </c>
      <c r="G38" s="13">
        <f t="shared" si="0"/>
        <v>3</v>
      </c>
      <c r="H38" s="4"/>
    </row>
    <row r="39" spans="1:8" x14ac:dyDescent="0.35">
      <c r="A39" s="3" t="s">
        <v>168</v>
      </c>
      <c r="B39" s="4" t="s">
        <v>56</v>
      </c>
      <c r="C39" s="17" t="s">
        <v>426</v>
      </c>
      <c r="D39" s="17" t="s">
        <v>616</v>
      </c>
      <c r="E39" s="4" t="s">
        <v>421</v>
      </c>
      <c r="F39" s="1">
        <v>250</v>
      </c>
      <c r="G39" s="13">
        <f t="shared" si="0"/>
        <v>3</v>
      </c>
      <c r="H39" s="4"/>
    </row>
    <row r="40" spans="1:8" x14ac:dyDescent="0.35">
      <c r="A40" s="3" t="s">
        <v>169</v>
      </c>
      <c r="B40" s="4" t="s">
        <v>51</v>
      </c>
      <c r="C40" s="17" t="s">
        <v>426</v>
      </c>
      <c r="D40" s="17" t="s">
        <v>616</v>
      </c>
      <c r="E40" s="4" t="s">
        <v>421</v>
      </c>
      <c r="F40" s="1">
        <v>250</v>
      </c>
      <c r="G40" s="13">
        <f t="shared" si="0"/>
        <v>3</v>
      </c>
      <c r="H40" s="4"/>
    </row>
    <row r="41" spans="1:8" x14ac:dyDescent="0.35">
      <c r="A41" s="3" t="s">
        <v>170</v>
      </c>
      <c r="B41" s="4" t="s">
        <v>427</v>
      </c>
      <c r="C41" s="17" t="s">
        <v>2</v>
      </c>
      <c r="D41" s="17" t="s">
        <v>616</v>
      </c>
      <c r="E41" s="4" t="s">
        <v>421</v>
      </c>
      <c r="F41" s="1">
        <v>250</v>
      </c>
      <c r="G41" s="13">
        <f t="shared" si="0"/>
        <v>3</v>
      </c>
      <c r="H41" s="4"/>
    </row>
    <row r="42" spans="1:8" x14ac:dyDescent="0.35">
      <c r="A42" s="3" t="s">
        <v>171</v>
      </c>
      <c r="B42" s="4" t="s">
        <v>0</v>
      </c>
      <c r="C42" s="5" t="s">
        <v>515</v>
      </c>
      <c r="D42" s="17" t="s">
        <v>616</v>
      </c>
      <c r="E42" s="4" t="s">
        <v>421</v>
      </c>
      <c r="F42" s="1">
        <v>250</v>
      </c>
      <c r="G42" s="13">
        <f t="shared" si="0"/>
        <v>3</v>
      </c>
      <c r="H42" s="4"/>
    </row>
    <row r="43" spans="1:8" x14ac:dyDescent="0.35">
      <c r="A43" s="3" t="s">
        <v>172</v>
      </c>
      <c r="B43" s="4" t="s">
        <v>29</v>
      </c>
      <c r="C43" s="17" t="s">
        <v>29</v>
      </c>
      <c r="D43" s="17" t="s">
        <v>616</v>
      </c>
      <c r="E43" s="4" t="s">
        <v>421</v>
      </c>
      <c r="F43" s="1">
        <v>250</v>
      </c>
      <c r="G43" s="13">
        <f t="shared" si="0"/>
        <v>3</v>
      </c>
      <c r="H43" s="4"/>
    </row>
    <row r="44" spans="1:8" x14ac:dyDescent="0.35">
      <c r="A44" s="3" t="s">
        <v>173</v>
      </c>
      <c r="B44" s="4" t="s">
        <v>2</v>
      </c>
      <c r="C44" s="17" t="s">
        <v>2</v>
      </c>
      <c r="D44" s="17" t="s">
        <v>616</v>
      </c>
      <c r="E44" s="4" t="s">
        <v>421</v>
      </c>
      <c r="F44" s="1">
        <v>250</v>
      </c>
      <c r="G44" s="13">
        <f t="shared" si="0"/>
        <v>3</v>
      </c>
      <c r="H44" s="4"/>
    </row>
    <row r="45" spans="1:8" x14ac:dyDescent="0.35">
      <c r="A45" s="3" t="s">
        <v>174</v>
      </c>
      <c r="B45" s="4" t="s">
        <v>79</v>
      </c>
      <c r="C45" s="5" t="s">
        <v>515</v>
      </c>
      <c r="D45" s="17" t="s">
        <v>616</v>
      </c>
      <c r="E45" s="4" t="s">
        <v>421</v>
      </c>
      <c r="F45" s="1">
        <v>250</v>
      </c>
      <c r="G45" s="13">
        <f t="shared" si="0"/>
        <v>3</v>
      </c>
      <c r="H45" s="4"/>
    </row>
    <row r="46" spans="1:8" x14ac:dyDescent="0.35">
      <c r="A46" s="3" t="s">
        <v>175</v>
      </c>
      <c r="B46" s="4" t="s">
        <v>9</v>
      </c>
      <c r="C46" s="17" t="s">
        <v>520</v>
      </c>
      <c r="D46" s="17" t="s">
        <v>616</v>
      </c>
      <c r="E46" s="4" t="s">
        <v>421</v>
      </c>
      <c r="F46" s="1">
        <v>250</v>
      </c>
      <c r="G46" s="13">
        <f t="shared" si="0"/>
        <v>3</v>
      </c>
      <c r="H46" s="4"/>
    </row>
    <row r="47" spans="1:8" x14ac:dyDescent="0.35">
      <c r="A47" s="3" t="s">
        <v>176</v>
      </c>
      <c r="B47" s="4" t="s">
        <v>428</v>
      </c>
      <c r="C47" s="17" t="s">
        <v>520</v>
      </c>
      <c r="D47" s="17" t="s">
        <v>616</v>
      </c>
      <c r="E47" s="4" t="s">
        <v>421</v>
      </c>
      <c r="F47" s="1">
        <v>250</v>
      </c>
      <c r="G47" s="13">
        <f t="shared" si="0"/>
        <v>3</v>
      </c>
      <c r="H47" s="4"/>
    </row>
    <row r="48" spans="1:8" x14ac:dyDescent="0.35">
      <c r="A48" s="3" t="s">
        <v>177</v>
      </c>
      <c r="B48" s="4" t="s">
        <v>23</v>
      </c>
      <c r="C48" s="17" t="s">
        <v>520</v>
      </c>
      <c r="D48" s="17" t="s">
        <v>616</v>
      </c>
      <c r="E48" s="4" t="s">
        <v>421</v>
      </c>
      <c r="F48" s="1">
        <v>250</v>
      </c>
      <c r="G48" s="13">
        <f t="shared" si="0"/>
        <v>3</v>
      </c>
      <c r="H48" s="4"/>
    </row>
    <row r="49" spans="1:8" x14ac:dyDescent="0.35">
      <c r="A49" s="3" t="s">
        <v>178</v>
      </c>
      <c r="B49" s="4" t="s">
        <v>123</v>
      </c>
      <c r="C49" s="14" t="s">
        <v>44</v>
      </c>
      <c r="D49" s="17" t="s">
        <v>616</v>
      </c>
      <c r="E49" s="4" t="s">
        <v>421</v>
      </c>
      <c r="F49" s="1">
        <v>250</v>
      </c>
      <c r="G49" s="13">
        <f t="shared" si="0"/>
        <v>3</v>
      </c>
      <c r="H49" s="4"/>
    </row>
    <row r="50" spans="1:8" x14ac:dyDescent="0.35">
      <c r="A50" s="3" t="s">
        <v>179</v>
      </c>
      <c r="B50" s="4" t="s">
        <v>429</v>
      </c>
      <c r="C50" s="17" t="s">
        <v>524</v>
      </c>
      <c r="D50" s="17" t="s">
        <v>616</v>
      </c>
      <c r="E50" s="4" t="s">
        <v>421</v>
      </c>
      <c r="F50" s="1">
        <v>250</v>
      </c>
      <c r="G50" s="13">
        <f t="shared" si="0"/>
        <v>3</v>
      </c>
      <c r="H50" s="4"/>
    </row>
    <row r="51" spans="1:8" x14ac:dyDescent="0.35">
      <c r="A51" s="3" t="s">
        <v>180</v>
      </c>
      <c r="B51" s="4" t="s">
        <v>44</v>
      </c>
      <c r="C51" s="14" t="s">
        <v>44</v>
      </c>
      <c r="D51" s="17" t="s">
        <v>616</v>
      </c>
      <c r="E51" s="4" t="s">
        <v>421</v>
      </c>
      <c r="F51" s="1">
        <v>250</v>
      </c>
      <c r="G51" s="13">
        <f t="shared" si="0"/>
        <v>3</v>
      </c>
      <c r="H51" s="4"/>
    </row>
    <row r="52" spans="1:8" x14ac:dyDescent="0.35">
      <c r="A52" s="3" t="s">
        <v>181</v>
      </c>
      <c r="B52" s="4" t="s">
        <v>131</v>
      </c>
      <c r="C52" s="17" t="s">
        <v>524</v>
      </c>
      <c r="D52" s="17" t="s">
        <v>616</v>
      </c>
      <c r="E52" s="4" t="s">
        <v>421</v>
      </c>
      <c r="F52" s="1">
        <v>250</v>
      </c>
      <c r="G52" s="13">
        <f t="shared" si="0"/>
        <v>3</v>
      </c>
      <c r="H52" s="4"/>
    </row>
    <row r="53" spans="1:8" x14ac:dyDescent="0.35">
      <c r="A53" s="3" t="s">
        <v>182</v>
      </c>
      <c r="B53" s="4" t="s">
        <v>12</v>
      </c>
      <c r="C53" s="17" t="s">
        <v>430</v>
      </c>
      <c r="D53" s="17" t="s">
        <v>616</v>
      </c>
      <c r="E53" s="4" t="s">
        <v>421</v>
      </c>
      <c r="F53" s="1">
        <v>250</v>
      </c>
      <c r="G53" s="13">
        <f t="shared" si="0"/>
        <v>3</v>
      </c>
      <c r="H53" s="4"/>
    </row>
    <row r="54" spans="1:8" x14ac:dyDescent="0.35">
      <c r="A54" s="3" t="s">
        <v>183</v>
      </c>
      <c r="B54" s="4" t="s">
        <v>430</v>
      </c>
      <c r="C54" s="17" t="s">
        <v>430</v>
      </c>
      <c r="D54" s="17" t="s">
        <v>616</v>
      </c>
      <c r="E54" s="4" t="s">
        <v>421</v>
      </c>
      <c r="F54" s="1">
        <v>250</v>
      </c>
      <c r="G54" s="13">
        <f t="shared" si="0"/>
        <v>3</v>
      </c>
      <c r="H54" s="4"/>
    </row>
    <row r="55" spans="1:8" x14ac:dyDescent="0.35">
      <c r="A55" s="3" t="s">
        <v>184</v>
      </c>
      <c r="B55" s="4" t="s">
        <v>431</v>
      </c>
      <c r="C55" s="17" t="s">
        <v>430</v>
      </c>
      <c r="D55" s="17" t="s">
        <v>616</v>
      </c>
      <c r="E55" s="4" t="s">
        <v>421</v>
      </c>
      <c r="F55" s="1">
        <v>250</v>
      </c>
      <c r="G55" s="13">
        <f t="shared" si="0"/>
        <v>3</v>
      </c>
      <c r="H55" s="4"/>
    </row>
    <row r="56" spans="1:8" x14ac:dyDescent="0.35">
      <c r="A56" s="3" t="s">
        <v>185</v>
      </c>
      <c r="B56" s="4" t="s">
        <v>86</v>
      </c>
      <c r="C56" s="14" t="s">
        <v>86</v>
      </c>
      <c r="D56" s="17" t="s">
        <v>616</v>
      </c>
      <c r="E56" s="4" t="s">
        <v>87</v>
      </c>
      <c r="F56" s="1">
        <v>1470</v>
      </c>
      <c r="G56" s="13">
        <f t="shared" si="0"/>
        <v>17.64</v>
      </c>
      <c r="H56" s="4"/>
    </row>
    <row r="57" spans="1:8" x14ac:dyDescent="0.35">
      <c r="A57" s="3" t="s">
        <v>186</v>
      </c>
      <c r="B57" s="4" t="s">
        <v>21</v>
      </c>
      <c r="C57" s="17" t="s">
        <v>575</v>
      </c>
      <c r="D57" s="17" t="s">
        <v>616</v>
      </c>
      <c r="E57" s="4" t="s">
        <v>87</v>
      </c>
      <c r="F57" s="1">
        <v>1100</v>
      </c>
      <c r="G57" s="13">
        <f t="shared" si="0"/>
        <v>13.200000000000001</v>
      </c>
      <c r="H57" s="4"/>
    </row>
    <row r="58" spans="1:8" x14ac:dyDescent="0.35">
      <c r="A58" s="3" t="s">
        <v>187</v>
      </c>
      <c r="B58" s="4" t="s">
        <v>15</v>
      </c>
      <c r="C58" s="17" t="s">
        <v>576</v>
      </c>
      <c r="D58" s="17" t="s">
        <v>616</v>
      </c>
      <c r="E58" s="4" t="s">
        <v>87</v>
      </c>
      <c r="F58" s="1">
        <v>383</v>
      </c>
      <c r="G58" s="13">
        <f t="shared" si="0"/>
        <v>4.5960000000000001</v>
      </c>
      <c r="H58" s="4"/>
    </row>
    <row r="59" spans="1:8" x14ac:dyDescent="0.35">
      <c r="A59" s="3" t="s">
        <v>188</v>
      </c>
      <c r="B59" s="4" t="s">
        <v>47</v>
      </c>
      <c r="C59" s="25" t="s">
        <v>50</v>
      </c>
      <c r="D59" s="17" t="s">
        <v>616</v>
      </c>
      <c r="E59" s="4" t="s">
        <v>87</v>
      </c>
      <c r="F59" s="1">
        <v>382</v>
      </c>
      <c r="G59" s="13">
        <f t="shared" si="0"/>
        <v>4.5840000000000005</v>
      </c>
      <c r="H59" s="4">
        <v>18</v>
      </c>
    </row>
    <row r="60" spans="1:8" x14ac:dyDescent="0.35">
      <c r="A60" s="3" t="s">
        <v>189</v>
      </c>
      <c r="B60" s="4" t="s">
        <v>92</v>
      </c>
      <c r="C60" s="17" t="s">
        <v>576</v>
      </c>
      <c r="D60" s="17" t="s">
        <v>616</v>
      </c>
      <c r="E60" s="4" t="s">
        <v>87</v>
      </c>
      <c r="F60" s="1">
        <v>640</v>
      </c>
      <c r="G60" s="13">
        <f t="shared" si="0"/>
        <v>7.68</v>
      </c>
      <c r="H60" s="4"/>
    </row>
    <row r="61" spans="1:8" x14ac:dyDescent="0.35">
      <c r="A61" s="3" t="s">
        <v>190</v>
      </c>
      <c r="B61" s="4" t="s">
        <v>53</v>
      </c>
      <c r="C61" s="14" t="s">
        <v>53</v>
      </c>
      <c r="D61" s="17" t="s">
        <v>616</v>
      </c>
      <c r="E61" s="4" t="s">
        <v>87</v>
      </c>
      <c r="F61" s="1">
        <v>704</v>
      </c>
      <c r="G61" s="13">
        <f t="shared" si="0"/>
        <v>8.4480000000000004</v>
      </c>
      <c r="H61" s="4"/>
    </row>
    <row r="62" spans="1:8" x14ac:dyDescent="0.35">
      <c r="A62" s="3" t="s">
        <v>191</v>
      </c>
      <c r="B62" s="4" t="s">
        <v>54</v>
      </c>
      <c r="C62" s="4" t="s">
        <v>54</v>
      </c>
      <c r="D62" s="17" t="s">
        <v>616</v>
      </c>
      <c r="E62" s="4" t="s">
        <v>87</v>
      </c>
      <c r="F62" s="1">
        <v>400</v>
      </c>
      <c r="G62" s="13">
        <f t="shared" si="0"/>
        <v>4.8</v>
      </c>
      <c r="H62" s="4"/>
    </row>
    <row r="63" spans="1:8" x14ac:dyDescent="0.35">
      <c r="A63" s="3" t="s">
        <v>192</v>
      </c>
      <c r="B63" s="4" t="s">
        <v>25</v>
      </c>
      <c r="C63" s="17" t="s">
        <v>520</v>
      </c>
      <c r="D63" s="17" t="s">
        <v>616</v>
      </c>
      <c r="E63" s="4" t="s">
        <v>87</v>
      </c>
      <c r="F63" s="1">
        <v>484</v>
      </c>
      <c r="G63" s="13">
        <f t="shared" si="0"/>
        <v>5.8079999999999998</v>
      </c>
      <c r="H63" s="4"/>
    </row>
    <row r="64" spans="1:8" x14ac:dyDescent="0.35">
      <c r="A64" s="3" t="s">
        <v>193</v>
      </c>
      <c r="B64" s="4" t="s">
        <v>23</v>
      </c>
      <c r="C64" s="17" t="s">
        <v>520</v>
      </c>
      <c r="D64" s="17" t="s">
        <v>616</v>
      </c>
      <c r="E64" s="4" t="s">
        <v>87</v>
      </c>
      <c r="F64" s="1">
        <v>550</v>
      </c>
      <c r="G64" s="13">
        <f t="shared" si="0"/>
        <v>6.6000000000000005</v>
      </c>
      <c r="H64" s="4"/>
    </row>
    <row r="65" spans="1:8" x14ac:dyDescent="0.35">
      <c r="A65" s="3" t="s">
        <v>194</v>
      </c>
      <c r="B65" s="4" t="s">
        <v>24</v>
      </c>
      <c r="C65" s="14" t="s">
        <v>24</v>
      </c>
      <c r="D65" s="17" t="s">
        <v>616</v>
      </c>
      <c r="E65" s="4" t="s">
        <v>87</v>
      </c>
      <c r="F65" s="1">
        <v>500</v>
      </c>
      <c r="G65" s="13">
        <f t="shared" si="0"/>
        <v>6</v>
      </c>
      <c r="H65" s="4"/>
    </row>
    <row r="66" spans="1:8" x14ac:dyDescent="0.35">
      <c r="A66" s="3" t="s">
        <v>195</v>
      </c>
      <c r="B66" s="4" t="s">
        <v>99</v>
      </c>
      <c r="C66" s="14" t="s">
        <v>99</v>
      </c>
      <c r="D66" s="17" t="s">
        <v>616</v>
      </c>
      <c r="E66" s="4" t="s">
        <v>87</v>
      </c>
      <c r="F66" s="1">
        <v>1058</v>
      </c>
      <c r="G66" s="13">
        <f t="shared" si="0"/>
        <v>12.696</v>
      </c>
      <c r="H66" s="4"/>
    </row>
    <row r="67" spans="1:8" x14ac:dyDescent="0.35">
      <c r="A67" s="3" t="s">
        <v>196</v>
      </c>
      <c r="B67" s="4" t="s">
        <v>101</v>
      </c>
      <c r="C67" s="4" t="s">
        <v>101</v>
      </c>
      <c r="D67" s="17" t="s">
        <v>616</v>
      </c>
      <c r="E67" s="4" t="s">
        <v>87</v>
      </c>
      <c r="F67" s="1">
        <v>570</v>
      </c>
      <c r="G67" s="13">
        <f t="shared" si="0"/>
        <v>6.84</v>
      </c>
      <c r="H67" s="4"/>
    </row>
    <row r="68" spans="1:8" x14ac:dyDescent="0.35">
      <c r="A68" s="3" t="s">
        <v>197</v>
      </c>
      <c r="B68" s="4" t="s">
        <v>41</v>
      </c>
      <c r="C68" s="17" t="s">
        <v>563</v>
      </c>
      <c r="D68" s="17" t="s">
        <v>616</v>
      </c>
      <c r="E68" s="4" t="s">
        <v>87</v>
      </c>
      <c r="F68" s="1">
        <v>500</v>
      </c>
      <c r="G68" s="13">
        <f t="shared" si="0"/>
        <v>6</v>
      </c>
      <c r="H68" s="4"/>
    </row>
    <row r="69" spans="1:8" x14ac:dyDescent="0.35">
      <c r="A69" s="3" t="s">
        <v>198</v>
      </c>
      <c r="B69" s="4" t="s">
        <v>104</v>
      </c>
      <c r="C69" s="29" t="s">
        <v>391</v>
      </c>
      <c r="D69" s="17" t="s">
        <v>616</v>
      </c>
      <c r="E69" s="4" t="s">
        <v>87</v>
      </c>
      <c r="F69" s="1">
        <v>350</v>
      </c>
      <c r="G69" s="13">
        <f t="shared" si="0"/>
        <v>4.2</v>
      </c>
      <c r="H69" s="4"/>
    </row>
    <row r="70" spans="1:8" x14ac:dyDescent="0.35">
      <c r="A70" s="3" t="s">
        <v>199</v>
      </c>
      <c r="B70" s="4" t="s">
        <v>106</v>
      </c>
      <c r="C70" s="17" t="s">
        <v>560</v>
      </c>
      <c r="D70" s="17" t="s">
        <v>616</v>
      </c>
      <c r="E70" s="4" t="s">
        <v>87</v>
      </c>
      <c r="F70" s="1">
        <v>500</v>
      </c>
      <c r="G70" s="13">
        <f t="shared" ref="G70:G133" si="1">(6/500)*F70</f>
        <v>6</v>
      </c>
      <c r="H70" s="4"/>
    </row>
    <row r="71" spans="1:8" x14ac:dyDescent="0.35">
      <c r="A71" s="3" t="s">
        <v>200</v>
      </c>
      <c r="B71" s="4" t="s">
        <v>42</v>
      </c>
      <c r="C71" s="14" t="s">
        <v>42</v>
      </c>
      <c r="D71" s="17" t="s">
        <v>616</v>
      </c>
      <c r="E71" s="4" t="s">
        <v>87</v>
      </c>
      <c r="F71" s="1">
        <v>1000</v>
      </c>
      <c r="G71" s="13">
        <f t="shared" si="1"/>
        <v>12</v>
      </c>
      <c r="H71" s="4"/>
    </row>
    <row r="72" spans="1:8" x14ac:dyDescent="0.35">
      <c r="A72" s="3" t="s">
        <v>201</v>
      </c>
      <c r="B72" s="4" t="s">
        <v>109</v>
      </c>
      <c r="C72" s="14" t="s">
        <v>109</v>
      </c>
      <c r="D72" s="17" t="s">
        <v>616</v>
      </c>
      <c r="E72" s="4" t="s">
        <v>110</v>
      </c>
      <c r="F72" s="1">
        <v>720</v>
      </c>
      <c r="G72" s="13">
        <f t="shared" si="1"/>
        <v>8.64</v>
      </c>
      <c r="H72" s="4"/>
    </row>
    <row r="73" spans="1:8" x14ac:dyDescent="0.35">
      <c r="A73" s="3" t="s">
        <v>202</v>
      </c>
      <c r="B73" s="4" t="s">
        <v>112</v>
      </c>
      <c r="C73" s="14" t="s">
        <v>112</v>
      </c>
      <c r="D73" s="17" t="s">
        <v>616</v>
      </c>
      <c r="E73" s="4" t="s">
        <v>110</v>
      </c>
      <c r="F73" s="1">
        <v>612</v>
      </c>
      <c r="G73" s="13">
        <f t="shared" si="1"/>
        <v>7.3440000000000003</v>
      </c>
      <c r="H73" s="4"/>
    </row>
    <row r="74" spans="1:8" x14ac:dyDescent="0.35">
      <c r="A74" s="3" t="s">
        <v>203</v>
      </c>
      <c r="B74" s="4" t="s">
        <v>33</v>
      </c>
      <c r="C74" s="14" t="s">
        <v>33</v>
      </c>
      <c r="D74" s="17" t="s">
        <v>616</v>
      </c>
      <c r="E74" s="4" t="s">
        <v>110</v>
      </c>
      <c r="F74" s="1">
        <v>923</v>
      </c>
      <c r="G74" s="13">
        <f t="shared" si="1"/>
        <v>11.076000000000001</v>
      </c>
      <c r="H74" s="4"/>
    </row>
    <row r="75" spans="1:8" x14ac:dyDescent="0.35">
      <c r="A75" s="3" t="s">
        <v>204</v>
      </c>
      <c r="B75" s="4" t="s">
        <v>115</v>
      </c>
      <c r="C75" s="29" t="s">
        <v>115</v>
      </c>
      <c r="D75" s="17" t="s">
        <v>616</v>
      </c>
      <c r="E75" s="4" t="s">
        <v>110</v>
      </c>
      <c r="F75" s="1">
        <v>1180</v>
      </c>
      <c r="G75" s="13">
        <f t="shared" si="1"/>
        <v>14.16</v>
      </c>
      <c r="H75" s="4"/>
    </row>
    <row r="76" spans="1:8" x14ac:dyDescent="0.35">
      <c r="A76" s="3" t="s">
        <v>205</v>
      </c>
      <c r="B76" s="4" t="s">
        <v>19</v>
      </c>
      <c r="C76" s="17" t="s">
        <v>5</v>
      </c>
      <c r="D76" s="17" t="s">
        <v>616</v>
      </c>
      <c r="E76" s="4" t="s">
        <v>110</v>
      </c>
      <c r="F76" s="1">
        <v>1130</v>
      </c>
      <c r="G76" s="13">
        <f t="shared" si="1"/>
        <v>13.56</v>
      </c>
      <c r="H76" s="4"/>
    </row>
    <row r="77" spans="1:8" x14ac:dyDescent="0.35">
      <c r="A77" s="3" t="s">
        <v>206</v>
      </c>
      <c r="B77" s="4" t="s">
        <v>118</v>
      </c>
      <c r="C77" s="17" t="s">
        <v>390</v>
      </c>
      <c r="D77" s="17" t="s">
        <v>616</v>
      </c>
      <c r="E77" s="4" t="s">
        <v>110</v>
      </c>
      <c r="F77" s="1">
        <v>930</v>
      </c>
      <c r="G77" s="13">
        <f t="shared" si="1"/>
        <v>11.16</v>
      </c>
      <c r="H77" s="4" t="s">
        <v>614</v>
      </c>
    </row>
    <row r="78" spans="1:8" x14ac:dyDescent="0.35">
      <c r="A78" s="3" t="s">
        <v>207</v>
      </c>
      <c r="B78" s="4" t="s">
        <v>32</v>
      </c>
      <c r="C78" s="14" t="s">
        <v>32</v>
      </c>
      <c r="D78" s="17" t="s">
        <v>616</v>
      </c>
      <c r="E78" s="4" t="s">
        <v>110</v>
      </c>
      <c r="F78" s="1">
        <v>645</v>
      </c>
      <c r="G78" s="13">
        <f t="shared" si="1"/>
        <v>7.74</v>
      </c>
      <c r="H78" s="4"/>
    </row>
    <row r="79" spans="1:8" x14ac:dyDescent="0.35">
      <c r="A79" s="3" t="s">
        <v>208</v>
      </c>
      <c r="B79" s="4" t="s">
        <v>46</v>
      </c>
      <c r="C79" s="5" t="s">
        <v>275</v>
      </c>
      <c r="D79" s="17" t="s">
        <v>616</v>
      </c>
      <c r="E79" s="4" t="s">
        <v>110</v>
      </c>
      <c r="F79" s="1">
        <v>677</v>
      </c>
      <c r="G79" s="13">
        <f t="shared" si="1"/>
        <v>8.1240000000000006</v>
      </c>
      <c r="H79" s="4"/>
    </row>
    <row r="80" spans="1:8" x14ac:dyDescent="0.35">
      <c r="A80" s="3" t="s">
        <v>209</v>
      </c>
      <c r="B80" s="4" t="s">
        <v>109</v>
      </c>
      <c r="C80" s="14" t="s">
        <v>109</v>
      </c>
      <c r="D80" s="17" t="s">
        <v>616</v>
      </c>
      <c r="E80" s="4" t="s">
        <v>110</v>
      </c>
      <c r="F80" s="1">
        <v>750</v>
      </c>
      <c r="G80" s="13">
        <f t="shared" si="1"/>
        <v>9</v>
      </c>
      <c r="H80" s="4"/>
    </row>
    <row r="81" spans="1:8" x14ac:dyDescent="0.35">
      <c r="A81" s="3" t="s">
        <v>210</v>
      </c>
      <c r="B81" s="4" t="s">
        <v>123</v>
      </c>
      <c r="C81" s="24" t="s">
        <v>542</v>
      </c>
      <c r="D81" s="17" t="s">
        <v>616</v>
      </c>
      <c r="E81" s="4" t="s">
        <v>110</v>
      </c>
      <c r="F81" s="1">
        <v>1000</v>
      </c>
      <c r="G81" s="13">
        <f t="shared" si="1"/>
        <v>12</v>
      </c>
      <c r="H81" s="4">
        <v>12</v>
      </c>
    </row>
    <row r="82" spans="1:8" x14ac:dyDescent="0.35">
      <c r="A82" s="3" t="s">
        <v>211</v>
      </c>
      <c r="B82" s="4" t="s">
        <v>125</v>
      </c>
      <c r="C82" s="14" t="s">
        <v>125</v>
      </c>
      <c r="D82" s="17" t="s">
        <v>616</v>
      </c>
      <c r="E82" s="4" t="s">
        <v>110</v>
      </c>
      <c r="F82" s="1">
        <v>750</v>
      </c>
      <c r="G82" s="13">
        <f t="shared" si="1"/>
        <v>9</v>
      </c>
      <c r="H82" s="4"/>
    </row>
    <row r="83" spans="1:8" x14ac:dyDescent="0.35">
      <c r="A83" s="3" t="s">
        <v>212</v>
      </c>
      <c r="B83" s="4" t="s">
        <v>127</v>
      </c>
      <c r="C83" s="25" t="s">
        <v>127</v>
      </c>
      <c r="D83" s="17" t="s">
        <v>616</v>
      </c>
      <c r="E83" s="4" t="s">
        <v>110</v>
      </c>
      <c r="F83" s="1">
        <v>690</v>
      </c>
      <c r="G83" s="13">
        <f t="shared" si="1"/>
        <v>8.2799999999999994</v>
      </c>
      <c r="H83" s="4">
        <v>8</v>
      </c>
    </row>
    <row r="84" spans="1:8" x14ac:dyDescent="0.35">
      <c r="A84" s="3" t="s">
        <v>213</v>
      </c>
      <c r="B84" s="4" t="s">
        <v>129</v>
      </c>
      <c r="C84" s="24" t="s">
        <v>133</v>
      </c>
      <c r="D84" s="17" t="s">
        <v>616</v>
      </c>
      <c r="E84" s="4" t="s">
        <v>110</v>
      </c>
      <c r="F84" s="1">
        <v>480</v>
      </c>
      <c r="G84" s="13">
        <f t="shared" si="1"/>
        <v>5.76</v>
      </c>
      <c r="H84" s="4">
        <v>16</v>
      </c>
    </row>
    <row r="85" spans="1:8" x14ac:dyDescent="0.35">
      <c r="A85" s="3" t="s">
        <v>214</v>
      </c>
      <c r="B85" s="4" t="s">
        <v>131</v>
      </c>
      <c r="C85" s="17" t="s">
        <v>524</v>
      </c>
      <c r="D85" s="17" t="s">
        <v>616</v>
      </c>
      <c r="E85" s="4" t="s">
        <v>110</v>
      </c>
      <c r="F85" s="1">
        <v>1000</v>
      </c>
      <c r="G85" s="13">
        <f t="shared" si="1"/>
        <v>12</v>
      </c>
      <c r="H85" s="4"/>
    </row>
    <row r="86" spans="1:8" x14ac:dyDescent="0.35">
      <c r="A86" s="3" t="s">
        <v>215</v>
      </c>
      <c r="B86" s="4" t="s">
        <v>133</v>
      </c>
      <c r="C86" s="25" t="s">
        <v>133</v>
      </c>
      <c r="D86" s="17" t="s">
        <v>616</v>
      </c>
      <c r="E86" s="4" t="s">
        <v>110</v>
      </c>
      <c r="F86" s="1">
        <v>855</v>
      </c>
      <c r="G86" s="13">
        <f t="shared" si="1"/>
        <v>10.26</v>
      </c>
      <c r="H86" s="4"/>
    </row>
    <row r="87" spans="1:8" x14ac:dyDescent="0.35">
      <c r="A87" s="3" t="s">
        <v>216</v>
      </c>
      <c r="B87" s="4" t="s">
        <v>26</v>
      </c>
      <c r="C87" s="5" t="s">
        <v>509</v>
      </c>
      <c r="D87" s="17" t="s">
        <v>616</v>
      </c>
      <c r="E87" s="4" t="s">
        <v>65</v>
      </c>
      <c r="F87" s="1">
        <v>1100</v>
      </c>
      <c r="G87" s="13">
        <f t="shared" si="1"/>
        <v>13.200000000000001</v>
      </c>
      <c r="H87" s="4"/>
    </row>
    <row r="88" spans="1:8" x14ac:dyDescent="0.35">
      <c r="A88" s="3" t="s">
        <v>217</v>
      </c>
      <c r="B88" s="4" t="s">
        <v>66</v>
      </c>
      <c r="C88" s="14" t="s">
        <v>66</v>
      </c>
      <c r="D88" s="17" t="s">
        <v>616</v>
      </c>
      <c r="E88" s="4" t="s">
        <v>65</v>
      </c>
      <c r="F88" s="1">
        <v>990</v>
      </c>
      <c r="G88" s="13">
        <f t="shared" si="1"/>
        <v>11.88</v>
      </c>
      <c r="H88" s="4"/>
    </row>
    <row r="89" spans="1:8" x14ac:dyDescent="0.35">
      <c r="A89" s="3" t="s">
        <v>218</v>
      </c>
      <c r="B89" s="4" t="s">
        <v>67</v>
      </c>
      <c r="C89" s="14" t="s">
        <v>67</v>
      </c>
      <c r="D89" s="17" t="s">
        <v>616</v>
      </c>
      <c r="E89" s="4" t="s">
        <v>65</v>
      </c>
      <c r="F89" s="1">
        <v>1720</v>
      </c>
      <c r="G89" s="13">
        <f t="shared" si="1"/>
        <v>20.64</v>
      </c>
      <c r="H89" s="4"/>
    </row>
    <row r="90" spans="1:8" x14ac:dyDescent="0.35">
      <c r="A90" s="3" t="s">
        <v>219</v>
      </c>
      <c r="B90" s="4" t="s">
        <v>68</v>
      </c>
      <c r="C90" s="17" t="s">
        <v>551</v>
      </c>
      <c r="D90" s="17" t="s">
        <v>616</v>
      </c>
      <c r="E90" s="4" t="s">
        <v>65</v>
      </c>
      <c r="F90" s="1">
        <v>520</v>
      </c>
      <c r="G90" s="13">
        <f t="shared" si="1"/>
        <v>6.24</v>
      </c>
      <c r="H90" s="4"/>
    </row>
    <row r="91" spans="1:8" x14ac:dyDescent="0.35">
      <c r="A91" s="3" t="s">
        <v>220</v>
      </c>
      <c r="B91" s="4" t="s">
        <v>18</v>
      </c>
      <c r="C91" s="17" t="s">
        <v>546</v>
      </c>
      <c r="D91" s="17" t="s">
        <v>616</v>
      </c>
      <c r="E91" s="4" t="s">
        <v>65</v>
      </c>
      <c r="F91" s="1">
        <v>1025</v>
      </c>
      <c r="G91" s="13">
        <f t="shared" si="1"/>
        <v>12.3</v>
      </c>
      <c r="H91" s="4"/>
    </row>
    <row r="92" spans="1:8" x14ac:dyDescent="0.35">
      <c r="A92" s="3" t="s">
        <v>221</v>
      </c>
      <c r="B92" s="4" t="s">
        <v>69</v>
      </c>
      <c r="C92" s="17" t="s">
        <v>2</v>
      </c>
      <c r="D92" s="17" t="s">
        <v>616</v>
      </c>
      <c r="E92" s="4" t="s">
        <v>65</v>
      </c>
      <c r="F92" s="1">
        <v>1250</v>
      </c>
      <c r="G92" s="13">
        <f t="shared" si="1"/>
        <v>15</v>
      </c>
      <c r="H92" s="4"/>
    </row>
    <row r="93" spans="1:8" x14ac:dyDescent="0.35">
      <c r="A93" s="3" t="s">
        <v>222</v>
      </c>
      <c r="B93" s="4" t="s">
        <v>70</v>
      </c>
      <c r="C93" s="17" t="s">
        <v>39</v>
      </c>
      <c r="D93" s="17" t="s">
        <v>616</v>
      </c>
      <c r="E93" s="4" t="s">
        <v>65</v>
      </c>
      <c r="F93" s="1">
        <v>500</v>
      </c>
      <c r="G93" s="13">
        <f t="shared" si="1"/>
        <v>6</v>
      </c>
      <c r="H93" s="4"/>
    </row>
    <row r="94" spans="1:8" x14ac:dyDescent="0.35">
      <c r="A94" s="3" t="s">
        <v>223</v>
      </c>
      <c r="B94" s="4" t="s">
        <v>71</v>
      </c>
      <c r="C94" s="17" t="s">
        <v>39</v>
      </c>
      <c r="D94" s="17" t="s">
        <v>616</v>
      </c>
      <c r="E94" s="4" t="s">
        <v>65</v>
      </c>
      <c r="F94" s="1">
        <v>250</v>
      </c>
      <c r="G94" s="13">
        <f t="shared" si="1"/>
        <v>3</v>
      </c>
      <c r="H94" s="4"/>
    </row>
    <row r="95" spans="1:8" x14ac:dyDescent="0.35">
      <c r="A95" s="3" t="s">
        <v>224</v>
      </c>
      <c r="B95" s="4" t="s">
        <v>0</v>
      </c>
      <c r="C95" s="14" t="s">
        <v>0</v>
      </c>
      <c r="D95" s="17" t="s">
        <v>616</v>
      </c>
      <c r="E95" s="4" t="s">
        <v>65</v>
      </c>
      <c r="F95" s="1">
        <v>1000</v>
      </c>
      <c r="G95" s="13">
        <f t="shared" si="1"/>
        <v>12</v>
      </c>
      <c r="H95" s="4"/>
    </row>
    <row r="96" spans="1:8" x14ac:dyDescent="0.35">
      <c r="A96" s="3" t="s">
        <v>225</v>
      </c>
      <c r="B96" s="4" t="s">
        <v>72</v>
      </c>
      <c r="C96" s="14" t="s">
        <v>72</v>
      </c>
      <c r="D96" s="17" t="s">
        <v>616</v>
      </c>
      <c r="E96" s="4" t="s">
        <v>65</v>
      </c>
      <c r="F96" s="1">
        <v>675</v>
      </c>
      <c r="G96" s="13">
        <f t="shared" si="1"/>
        <v>8.1</v>
      </c>
      <c r="H96" s="4"/>
    </row>
    <row r="97" spans="1:8" x14ac:dyDescent="0.35">
      <c r="A97" s="3" t="s">
        <v>226</v>
      </c>
      <c r="B97" s="4" t="s">
        <v>73</v>
      </c>
      <c r="C97" s="17" t="s">
        <v>13</v>
      </c>
      <c r="D97" s="17" t="s">
        <v>616</v>
      </c>
      <c r="E97" s="4" t="s">
        <v>65</v>
      </c>
      <c r="F97" s="1">
        <v>675</v>
      </c>
      <c r="G97" s="13">
        <f t="shared" si="1"/>
        <v>8.1</v>
      </c>
      <c r="H97" s="4"/>
    </row>
    <row r="98" spans="1:8" x14ac:dyDescent="0.35">
      <c r="A98" s="3" t="s">
        <v>227</v>
      </c>
      <c r="B98" s="4" t="s">
        <v>40</v>
      </c>
      <c r="C98" s="14" t="s">
        <v>40</v>
      </c>
      <c r="D98" s="17" t="s">
        <v>616</v>
      </c>
      <c r="E98" s="4" t="s">
        <v>65</v>
      </c>
      <c r="F98" s="1">
        <v>870</v>
      </c>
      <c r="G98" s="13">
        <f t="shared" si="1"/>
        <v>10.44</v>
      </c>
      <c r="H98" s="4"/>
    </row>
    <row r="99" spans="1:8" x14ac:dyDescent="0.35">
      <c r="A99" s="3" t="s">
        <v>228</v>
      </c>
      <c r="B99" s="4" t="s">
        <v>69</v>
      </c>
      <c r="C99" s="17" t="s">
        <v>2</v>
      </c>
      <c r="D99" s="17" t="s">
        <v>616</v>
      </c>
      <c r="E99" s="4" t="s">
        <v>65</v>
      </c>
      <c r="F99" s="1">
        <v>525</v>
      </c>
      <c r="G99" s="13">
        <f t="shared" si="1"/>
        <v>6.3</v>
      </c>
      <c r="H99" s="4"/>
    </row>
    <row r="100" spans="1:8" x14ac:dyDescent="0.35">
      <c r="A100" s="3" t="s">
        <v>229</v>
      </c>
      <c r="B100" s="4" t="s">
        <v>74</v>
      </c>
      <c r="C100" s="17" t="s">
        <v>577</v>
      </c>
      <c r="D100" s="17" t="s">
        <v>616</v>
      </c>
      <c r="E100" s="4" t="s">
        <v>65</v>
      </c>
      <c r="F100" s="1">
        <v>910</v>
      </c>
      <c r="G100" s="13">
        <f t="shared" si="1"/>
        <v>10.92</v>
      </c>
      <c r="H100" s="4"/>
    </row>
    <row r="101" spans="1:8" x14ac:dyDescent="0.35">
      <c r="A101" s="3" t="s">
        <v>230</v>
      </c>
      <c r="B101" s="4" t="s">
        <v>75</v>
      </c>
      <c r="C101" s="24" t="s">
        <v>574</v>
      </c>
      <c r="D101" s="17" t="s">
        <v>616</v>
      </c>
      <c r="E101" s="4" t="s">
        <v>76</v>
      </c>
      <c r="F101" s="1">
        <v>1050</v>
      </c>
      <c r="G101" s="13">
        <f t="shared" si="1"/>
        <v>12.6</v>
      </c>
      <c r="H101" s="4"/>
    </row>
    <row r="102" spans="1:8" x14ac:dyDescent="0.35">
      <c r="A102" s="3" t="s">
        <v>231</v>
      </c>
      <c r="B102" s="4" t="s">
        <v>36</v>
      </c>
      <c r="C102" s="14" t="s">
        <v>36</v>
      </c>
      <c r="D102" s="17" t="s">
        <v>616</v>
      </c>
      <c r="E102" s="4" t="s">
        <v>76</v>
      </c>
      <c r="F102" s="1">
        <v>1025</v>
      </c>
      <c r="G102" s="13">
        <f t="shared" si="1"/>
        <v>12.3</v>
      </c>
      <c r="H102" s="4"/>
    </row>
    <row r="103" spans="1:8" x14ac:dyDescent="0.35">
      <c r="A103" s="3" t="s">
        <v>232</v>
      </c>
      <c r="B103" s="4" t="s">
        <v>77</v>
      </c>
      <c r="C103" s="17" t="s">
        <v>518</v>
      </c>
      <c r="D103" s="17" t="s">
        <v>616</v>
      </c>
      <c r="E103" s="4" t="s">
        <v>76</v>
      </c>
      <c r="F103" s="1">
        <v>975</v>
      </c>
      <c r="G103" s="13">
        <f t="shared" si="1"/>
        <v>11.700000000000001</v>
      </c>
      <c r="H103" s="4"/>
    </row>
    <row r="104" spans="1:8" x14ac:dyDescent="0.35">
      <c r="A104" s="3" t="s">
        <v>233</v>
      </c>
      <c r="B104" s="5" t="s">
        <v>578</v>
      </c>
      <c r="C104" s="17" t="s">
        <v>578</v>
      </c>
      <c r="D104" s="17" t="s">
        <v>616</v>
      </c>
      <c r="E104" s="4" t="s">
        <v>76</v>
      </c>
      <c r="F104" s="1">
        <v>910</v>
      </c>
      <c r="G104" s="13">
        <f t="shared" si="1"/>
        <v>10.92</v>
      </c>
      <c r="H104" s="4"/>
    </row>
    <row r="105" spans="1:8" x14ac:dyDescent="0.35">
      <c r="A105" s="3" t="s">
        <v>234</v>
      </c>
      <c r="B105" s="4" t="s">
        <v>3</v>
      </c>
      <c r="C105" s="14" t="s">
        <v>3</v>
      </c>
      <c r="D105" s="17" t="s">
        <v>616</v>
      </c>
      <c r="E105" s="4" t="s">
        <v>76</v>
      </c>
      <c r="F105" s="1">
        <v>1000</v>
      </c>
      <c r="G105" s="13">
        <f t="shared" si="1"/>
        <v>12</v>
      </c>
      <c r="H105" s="4"/>
    </row>
    <row r="106" spans="1:8" x14ac:dyDescent="0.35">
      <c r="A106" s="3" t="s">
        <v>235</v>
      </c>
      <c r="B106" s="4" t="s">
        <v>78</v>
      </c>
      <c r="C106" s="17" t="s">
        <v>53</v>
      </c>
      <c r="D106" s="17" t="s">
        <v>616</v>
      </c>
      <c r="E106" s="4" t="s">
        <v>76</v>
      </c>
      <c r="F106" s="1">
        <v>364</v>
      </c>
      <c r="G106" s="13">
        <f t="shared" si="1"/>
        <v>4.3680000000000003</v>
      </c>
      <c r="H106" s="4"/>
    </row>
    <row r="107" spans="1:8" x14ac:dyDescent="0.35">
      <c r="A107" s="3" t="s">
        <v>236</v>
      </c>
      <c r="B107" s="4" t="s">
        <v>9</v>
      </c>
      <c r="C107" s="17" t="s">
        <v>9</v>
      </c>
      <c r="D107" s="17" t="s">
        <v>616</v>
      </c>
      <c r="E107" s="4" t="s">
        <v>76</v>
      </c>
      <c r="F107" s="1">
        <v>806</v>
      </c>
      <c r="G107" s="13">
        <f t="shared" si="1"/>
        <v>9.6720000000000006</v>
      </c>
      <c r="H107" s="4"/>
    </row>
    <row r="108" spans="1:8" x14ac:dyDescent="0.35">
      <c r="A108" s="3" t="s">
        <v>237</v>
      </c>
      <c r="B108" s="4" t="s">
        <v>12</v>
      </c>
      <c r="C108" s="17" t="s">
        <v>2</v>
      </c>
      <c r="D108" s="17" t="s">
        <v>616</v>
      </c>
      <c r="E108" s="4" t="s">
        <v>76</v>
      </c>
      <c r="F108" s="1">
        <v>670</v>
      </c>
      <c r="G108" s="13">
        <f t="shared" si="1"/>
        <v>8.0400000000000009</v>
      </c>
      <c r="H108" s="4"/>
    </row>
    <row r="109" spans="1:8" x14ac:dyDescent="0.35">
      <c r="A109" s="3" t="s">
        <v>238</v>
      </c>
      <c r="B109" s="4" t="s">
        <v>79</v>
      </c>
      <c r="C109" s="17" t="s">
        <v>2</v>
      </c>
      <c r="D109" s="17" t="s">
        <v>616</v>
      </c>
      <c r="E109" s="4" t="s">
        <v>76</v>
      </c>
      <c r="F109" s="1">
        <v>705</v>
      </c>
      <c r="G109" s="13">
        <f t="shared" si="1"/>
        <v>8.4600000000000009</v>
      </c>
      <c r="H109" s="4"/>
    </row>
    <row r="110" spans="1:8" x14ac:dyDescent="0.35">
      <c r="A110" s="3" t="s">
        <v>239</v>
      </c>
      <c r="B110" s="4" t="s">
        <v>8</v>
      </c>
      <c r="C110" s="17" t="s">
        <v>517</v>
      </c>
      <c r="D110" s="17" t="s">
        <v>616</v>
      </c>
      <c r="E110" s="4" t="s">
        <v>76</v>
      </c>
      <c r="F110" s="1">
        <v>500</v>
      </c>
      <c r="G110" s="13">
        <f t="shared" si="1"/>
        <v>6</v>
      </c>
      <c r="H110" s="4"/>
    </row>
    <row r="111" spans="1:8" x14ac:dyDescent="0.35">
      <c r="A111" s="3" t="s">
        <v>240</v>
      </c>
      <c r="B111" s="4" t="s">
        <v>80</v>
      </c>
      <c r="C111" s="14" t="s">
        <v>80</v>
      </c>
      <c r="D111" s="17" t="s">
        <v>616</v>
      </c>
      <c r="E111" s="4" t="s">
        <v>76</v>
      </c>
      <c r="F111" s="1">
        <v>960</v>
      </c>
      <c r="G111" s="13">
        <f t="shared" si="1"/>
        <v>11.52</v>
      </c>
      <c r="H111" s="4"/>
    </row>
    <row r="112" spans="1:8" x14ac:dyDescent="0.35">
      <c r="A112" s="3" t="s">
        <v>241</v>
      </c>
      <c r="B112" s="4" t="s">
        <v>81</v>
      </c>
      <c r="C112" s="24" t="s">
        <v>71</v>
      </c>
      <c r="D112" s="17" t="s">
        <v>616</v>
      </c>
      <c r="E112" s="4" t="s">
        <v>76</v>
      </c>
      <c r="F112" s="1">
        <v>800</v>
      </c>
      <c r="G112" s="13">
        <f t="shared" si="1"/>
        <v>9.6</v>
      </c>
      <c r="H112" s="4">
        <v>80</v>
      </c>
    </row>
    <row r="113" spans="1:8" x14ac:dyDescent="0.35">
      <c r="A113" s="3" t="s">
        <v>242</v>
      </c>
      <c r="B113" s="4" t="s">
        <v>7</v>
      </c>
      <c r="C113" s="24" t="s">
        <v>71</v>
      </c>
      <c r="D113" s="17" t="s">
        <v>616</v>
      </c>
      <c r="E113" s="4" t="s">
        <v>76</v>
      </c>
      <c r="F113" s="1">
        <v>500</v>
      </c>
      <c r="G113" s="13">
        <f t="shared" si="1"/>
        <v>6</v>
      </c>
      <c r="H113" s="4"/>
    </row>
    <row r="114" spans="1:8" x14ac:dyDescent="0.35">
      <c r="A114" s="3" t="s">
        <v>243</v>
      </c>
      <c r="B114" s="4" t="s">
        <v>9</v>
      </c>
      <c r="C114" s="14" t="s">
        <v>9</v>
      </c>
      <c r="D114" s="17" t="s">
        <v>616</v>
      </c>
      <c r="E114" s="4" t="s">
        <v>76</v>
      </c>
      <c r="F114" s="1">
        <v>555</v>
      </c>
      <c r="G114" s="13">
        <f t="shared" si="1"/>
        <v>6.66</v>
      </c>
      <c r="H114" s="4"/>
    </row>
    <row r="115" spans="1:8" x14ac:dyDescent="0.35">
      <c r="A115" s="3" t="s">
        <v>244</v>
      </c>
      <c r="B115" s="4" t="s">
        <v>19</v>
      </c>
      <c r="C115" s="24" t="s">
        <v>71</v>
      </c>
      <c r="D115" s="17" t="s">
        <v>616</v>
      </c>
      <c r="E115" s="4" t="s">
        <v>76</v>
      </c>
      <c r="F115" s="1">
        <v>762</v>
      </c>
      <c r="G115" s="13">
        <f t="shared" si="1"/>
        <v>9.1440000000000001</v>
      </c>
      <c r="H115" s="4"/>
    </row>
    <row r="116" spans="1:8" x14ac:dyDescent="0.35">
      <c r="A116" s="3" t="s">
        <v>245</v>
      </c>
      <c r="B116" s="4" t="s">
        <v>82</v>
      </c>
      <c r="C116" s="25" t="s">
        <v>82</v>
      </c>
      <c r="D116" s="17" t="s">
        <v>616</v>
      </c>
      <c r="E116" s="4" t="s">
        <v>76</v>
      </c>
      <c r="F116" s="1">
        <v>684</v>
      </c>
      <c r="G116" s="13">
        <f t="shared" si="1"/>
        <v>8.2080000000000002</v>
      </c>
      <c r="H116" s="4">
        <v>13</v>
      </c>
    </row>
    <row r="117" spans="1:8" x14ac:dyDescent="0.35">
      <c r="A117" s="3" t="s">
        <v>246</v>
      </c>
      <c r="B117" s="4" t="s">
        <v>83</v>
      </c>
      <c r="C117" s="24" t="s">
        <v>71</v>
      </c>
      <c r="D117" s="17" t="s">
        <v>616</v>
      </c>
      <c r="E117" s="4" t="s">
        <v>76</v>
      </c>
      <c r="F117" s="1">
        <v>1350</v>
      </c>
      <c r="G117" s="13">
        <f t="shared" si="1"/>
        <v>16.2</v>
      </c>
      <c r="H117" s="4"/>
    </row>
    <row r="118" spans="1:8" x14ac:dyDescent="0.35">
      <c r="A118" s="3" t="s">
        <v>247</v>
      </c>
      <c r="B118" s="4" t="s">
        <v>84</v>
      </c>
      <c r="C118" s="17" t="s">
        <v>576</v>
      </c>
      <c r="D118" s="17" t="s">
        <v>616</v>
      </c>
      <c r="E118" s="4" t="s">
        <v>76</v>
      </c>
      <c r="F118" s="1">
        <v>905</v>
      </c>
      <c r="G118" s="13">
        <f t="shared" si="1"/>
        <v>10.86</v>
      </c>
      <c r="H118" s="4"/>
    </row>
    <row r="119" spans="1:8" x14ac:dyDescent="0.35">
      <c r="A119" s="3" t="s">
        <v>248</v>
      </c>
      <c r="B119" s="4" t="s">
        <v>35</v>
      </c>
      <c r="C119" s="17" t="s">
        <v>512</v>
      </c>
      <c r="D119" s="17" t="s">
        <v>616</v>
      </c>
      <c r="E119" s="4" t="s">
        <v>76</v>
      </c>
      <c r="F119" s="1">
        <v>750</v>
      </c>
      <c r="G119" s="13">
        <f t="shared" si="1"/>
        <v>9</v>
      </c>
      <c r="H119" s="4"/>
    </row>
    <row r="120" spans="1:8" x14ac:dyDescent="0.35">
      <c r="A120" s="3" t="s">
        <v>249</v>
      </c>
      <c r="B120" s="4" t="s">
        <v>19</v>
      </c>
      <c r="C120" s="24" t="s">
        <v>71</v>
      </c>
      <c r="D120" s="17" t="s">
        <v>616</v>
      </c>
      <c r="E120" s="4" t="s">
        <v>76</v>
      </c>
      <c r="F120" s="1">
        <v>900</v>
      </c>
      <c r="G120" s="13">
        <f t="shared" si="1"/>
        <v>10.8</v>
      </c>
      <c r="H120" s="4"/>
    </row>
    <row r="121" spans="1:8" x14ac:dyDescent="0.35">
      <c r="A121" s="3" t="s">
        <v>250</v>
      </c>
      <c r="B121" s="4" t="s">
        <v>47</v>
      </c>
      <c r="C121" s="25" t="s">
        <v>47</v>
      </c>
      <c r="D121" s="17" t="s">
        <v>616</v>
      </c>
      <c r="E121" s="4" t="s">
        <v>48</v>
      </c>
      <c r="F121" s="1">
        <v>1380</v>
      </c>
      <c r="G121" s="13">
        <f t="shared" si="1"/>
        <v>16.559999999999999</v>
      </c>
      <c r="H121" s="4">
        <v>17</v>
      </c>
    </row>
    <row r="122" spans="1:8" x14ac:dyDescent="0.35">
      <c r="A122" s="3" t="s">
        <v>251</v>
      </c>
      <c r="B122" s="4" t="s">
        <v>49</v>
      </c>
      <c r="C122" s="4" t="s">
        <v>49</v>
      </c>
      <c r="D122" s="17" t="s">
        <v>616</v>
      </c>
      <c r="E122" s="4" t="s">
        <v>48</v>
      </c>
      <c r="F122" s="1">
        <v>1100</v>
      </c>
      <c r="G122" s="13">
        <f t="shared" si="1"/>
        <v>13.200000000000001</v>
      </c>
      <c r="H122" s="4"/>
    </row>
    <row r="123" spans="1:8" x14ac:dyDescent="0.35">
      <c r="A123" s="3" t="s">
        <v>252</v>
      </c>
      <c r="B123" s="4" t="s">
        <v>50</v>
      </c>
      <c r="C123" s="25" t="s">
        <v>50</v>
      </c>
      <c r="D123" s="17" t="s">
        <v>616</v>
      </c>
      <c r="E123" s="4" t="s">
        <v>48</v>
      </c>
      <c r="F123" s="1">
        <v>1130</v>
      </c>
      <c r="G123" s="13">
        <f t="shared" si="1"/>
        <v>13.56</v>
      </c>
      <c r="H123" s="4"/>
    </row>
    <row r="124" spans="1:8" x14ac:dyDescent="0.35">
      <c r="A124" s="3" t="s">
        <v>253</v>
      </c>
      <c r="B124" s="4" t="s">
        <v>31</v>
      </c>
      <c r="C124" s="17" t="s">
        <v>426</v>
      </c>
      <c r="D124" s="17" t="s">
        <v>616</v>
      </c>
      <c r="E124" s="4" t="s">
        <v>48</v>
      </c>
      <c r="F124" s="1">
        <f>250+272</f>
        <v>522</v>
      </c>
      <c r="G124" s="13">
        <f t="shared" si="1"/>
        <v>6.2640000000000002</v>
      </c>
      <c r="H124" s="4"/>
    </row>
    <row r="125" spans="1:8" x14ac:dyDescent="0.35">
      <c r="A125" s="3" t="s">
        <v>254</v>
      </c>
      <c r="B125" s="4" t="s">
        <v>51</v>
      </c>
      <c r="C125" s="17" t="s">
        <v>524</v>
      </c>
      <c r="D125" s="17" t="s">
        <v>616</v>
      </c>
      <c r="E125" s="4" t="s">
        <v>48</v>
      </c>
      <c r="F125" s="1">
        <v>1010</v>
      </c>
      <c r="G125" s="13">
        <f t="shared" si="1"/>
        <v>12.120000000000001</v>
      </c>
      <c r="H125" s="4"/>
    </row>
    <row r="126" spans="1:8" x14ac:dyDescent="0.35">
      <c r="A126" s="3" t="s">
        <v>255</v>
      </c>
      <c r="B126" s="4" t="s">
        <v>27</v>
      </c>
      <c r="C126" s="17" t="s">
        <v>32</v>
      </c>
      <c r="D126" s="17" t="s">
        <v>616</v>
      </c>
      <c r="E126" s="4" t="s">
        <v>48</v>
      </c>
      <c r="F126" s="1">
        <v>1010</v>
      </c>
      <c r="G126" s="13">
        <f t="shared" si="1"/>
        <v>12.120000000000001</v>
      </c>
      <c r="H126" s="4"/>
    </row>
    <row r="127" spans="1:8" x14ac:dyDescent="0.35">
      <c r="A127" s="3" t="s">
        <v>256</v>
      </c>
      <c r="B127" s="4" t="s">
        <v>22</v>
      </c>
      <c r="C127" s="17" t="s">
        <v>551</v>
      </c>
      <c r="D127" s="17" t="s">
        <v>616</v>
      </c>
      <c r="E127" s="4" t="s">
        <v>48</v>
      </c>
      <c r="F127" s="1">
        <v>960</v>
      </c>
      <c r="G127" s="13">
        <f t="shared" si="1"/>
        <v>11.52</v>
      </c>
      <c r="H127" s="4"/>
    </row>
    <row r="128" spans="1:8" x14ac:dyDescent="0.35">
      <c r="A128" s="3" t="s">
        <v>257</v>
      </c>
      <c r="B128" s="4" t="s">
        <v>2</v>
      </c>
      <c r="C128" s="17" t="s">
        <v>2</v>
      </c>
      <c r="D128" s="17" t="s">
        <v>616</v>
      </c>
      <c r="E128" s="4" t="s">
        <v>48</v>
      </c>
      <c r="F128" s="1">
        <v>1008</v>
      </c>
      <c r="G128" s="13">
        <f t="shared" si="1"/>
        <v>12.096</v>
      </c>
      <c r="H128" s="4"/>
    </row>
    <row r="129" spans="1:8" x14ac:dyDescent="0.35">
      <c r="A129" s="3" t="s">
        <v>258</v>
      </c>
      <c r="B129" s="4" t="s">
        <v>52</v>
      </c>
      <c r="C129" s="14" t="s">
        <v>579</v>
      </c>
      <c r="D129" s="17" t="s">
        <v>616</v>
      </c>
      <c r="E129" s="4" t="s">
        <v>48</v>
      </c>
      <c r="F129" s="1">
        <v>1605</v>
      </c>
      <c r="G129" s="13">
        <f t="shared" si="1"/>
        <v>19.260000000000002</v>
      </c>
      <c r="H129" s="4"/>
    </row>
    <row r="130" spans="1:8" x14ac:dyDescent="0.35">
      <c r="A130" s="3" t="s">
        <v>259</v>
      </c>
      <c r="B130" s="4" t="s">
        <v>53</v>
      </c>
      <c r="C130" s="14" t="s">
        <v>53</v>
      </c>
      <c r="D130" s="17" t="s">
        <v>616</v>
      </c>
      <c r="E130" s="4" t="s">
        <v>48</v>
      </c>
      <c r="F130" s="1">
        <v>379</v>
      </c>
      <c r="G130" s="13">
        <f t="shared" si="1"/>
        <v>4.548</v>
      </c>
      <c r="H130" s="4"/>
    </row>
    <row r="131" spans="1:8" x14ac:dyDescent="0.35">
      <c r="A131" s="3" t="s">
        <v>260</v>
      </c>
      <c r="B131" s="4" t="s">
        <v>54</v>
      </c>
      <c r="C131" s="14" t="s">
        <v>53</v>
      </c>
      <c r="D131" s="17" t="s">
        <v>616</v>
      </c>
      <c r="E131" s="4" t="s">
        <v>48</v>
      </c>
      <c r="F131" s="1">
        <v>379</v>
      </c>
      <c r="G131" s="13">
        <f t="shared" si="1"/>
        <v>4.548</v>
      </c>
      <c r="H131" s="4"/>
    </row>
    <row r="132" spans="1:8" x14ac:dyDescent="0.35">
      <c r="A132" s="3" t="s">
        <v>261</v>
      </c>
      <c r="B132" s="4" t="s">
        <v>37</v>
      </c>
      <c r="C132" s="17" t="s">
        <v>5</v>
      </c>
      <c r="D132" s="17" t="s">
        <v>616</v>
      </c>
      <c r="E132" s="4" t="s">
        <v>48</v>
      </c>
      <c r="F132" s="1">
        <v>910</v>
      </c>
      <c r="G132" s="13">
        <f t="shared" si="1"/>
        <v>10.92</v>
      </c>
      <c r="H132" s="4"/>
    </row>
    <row r="133" spans="1:8" x14ac:dyDescent="0.35">
      <c r="A133" s="3" t="s">
        <v>262</v>
      </c>
      <c r="B133" s="4" t="s">
        <v>55</v>
      </c>
      <c r="C133" s="4" t="s">
        <v>55</v>
      </c>
      <c r="D133" s="17" t="s">
        <v>616</v>
      </c>
      <c r="E133" s="4" t="s">
        <v>48</v>
      </c>
      <c r="F133" s="1">
        <f>510+400</f>
        <v>910</v>
      </c>
      <c r="G133" s="13">
        <f t="shared" si="1"/>
        <v>10.92</v>
      </c>
      <c r="H133" s="4"/>
    </row>
    <row r="134" spans="1:8" x14ac:dyDescent="0.35">
      <c r="A134" s="3" t="s">
        <v>263</v>
      </c>
      <c r="B134" s="4" t="s">
        <v>56</v>
      </c>
      <c r="C134" s="17" t="s">
        <v>570</v>
      </c>
      <c r="D134" s="17" t="s">
        <v>616</v>
      </c>
      <c r="E134" s="4" t="s">
        <v>57</v>
      </c>
      <c r="F134" s="1">
        <v>1100</v>
      </c>
      <c r="G134" s="13">
        <f t="shared" ref="G134:G142" si="2">(6/500)*F134</f>
        <v>13.200000000000001</v>
      </c>
      <c r="H134" s="4"/>
    </row>
    <row r="135" spans="1:8" x14ac:dyDescent="0.35">
      <c r="A135" s="3" t="s">
        <v>264</v>
      </c>
      <c r="B135" s="4" t="s">
        <v>58</v>
      </c>
      <c r="C135" s="17" t="s">
        <v>4</v>
      </c>
      <c r="D135" s="17" t="s">
        <v>616</v>
      </c>
      <c r="E135" s="4" t="s">
        <v>57</v>
      </c>
      <c r="F135" s="1">
        <v>500</v>
      </c>
      <c r="G135" s="13">
        <f t="shared" si="2"/>
        <v>6</v>
      </c>
      <c r="H135" s="4"/>
    </row>
    <row r="136" spans="1:8" x14ac:dyDescent="0.35">
      <c r="A136" s="3" t="s">
        <v>265</v>
      </c>
      <c r="B136" s="4" t="s">
        <v>59</v>
      </c>
      <c r="C136" s="17" t="s">
        <v>67</v>
      </c>
      <c r="D136" s="17" t="s">
        <v>616</v>
      </c>
      <c r="E136" s="4" t="s">
        <v>57</v>
      </c>
      <c r="F136" s="1">
        <v>1600</v>
      </c>
      <c r="G136" s="13">
        <f t="shared" si="2"/>
        <v>19.2</v>
      </c>
      <c r="H136" s="4"/>
    </row>
    <row r="137" spans="1:8" x14ac:dyDescent="0.35">
      <c r="A137" s="3" t="s">
        <v>266</v>
      </c>
      <c r="B137" s="4" t="s">
        <v>60</v>
      </c>
      <c r="C137" s="17" t="s">
        <v>426</v>
      </c>
      <c r="D137" s="17" t="s">
        <v>616</v>
      </c>
      <c r="E137" s="4" t="s">
        <v>57</v>
      </c>
      <c r="F137" s="1">
        <v>920</v>
      </c>
      <c r="G137" s="13">
        <f t="shared" si="2"/>
        <v>11.040000000000001</v>
      </c>
      <c r="H137" s="4"/>
    </row>
    <row r="138" spans="1:8" x14ac:dyDescent="0.35">
      <c r="A138" s="3" t="s">
        <v>267</v>
      </c>
      <c r="B138" s="4" t="s">
        <v>61</v>
      </c>
      <c r="C138" s="17" t="s">
        <v>426</v>
      </c>
      <c r="D138" s="17" t="s">
        <v>616</v>
      </c>
      <c r="E138" s="4" t="s">
        <v>57</v>
      </c>
      <c r="F138" s="1">
        <v>600</v>
      </c>
      <c r="G138" s="13">
        <f t="shared" si="2"/>
        <v>7.2</v>
      </c>
      <c r="H138" s="4"/>
    </row>
    <row r="139" spans="1:8" x14ac:dyDescent="0.35">
      <c r="A139" s="3" t="s">
        <v>392</v>
      </c>
      <c r="B139" s="4" t="s">
        <v>31</v>
      </c>
      <c r="C139" s="17" t="s">
        <v>426</v>
      </c>
      <c r="D139" s="17" t="s">
        <v>616</v>
      </c>
      <c r="E139" s="4" t="s">
        <v>57</v>
      </c>
      <c r="F139" s="1">
        <v>600</v>
      </c>
      <c r="G139" s="13">
        <f t="shared" si="2"/>
        <v>7.2</v>
      </c>
      <c r="H139" s="4"/>
    </row>
    <row r="140" spans="1:8" x14ac:dyDescent="0.35">
      <c r="A140" s="3" t="s">
        <v>393</v>
      </c>
      <c r="B140" s="4" t="s">
        <v>432</v>
      </c>
      <c r="C140" s="5"/>
      <c r="D140" s="17" t="s">
        <v>616</v>
      </c>
      <c r="E140" s="4" t="s">
        <v>57</v>
      </c>
      <c r="F140" s="1">
        <f>800+272</f>
        <v>1072</v>
      </c>
      <c r="G140" s="13">
        <f t="shared" si="2"/>
        <v>12.864000000000001</v>
      </c>
      <c r="H140" s="4"/>
    </row>
    <row r="141" spans="1:8" x14ac:dyDescent="0.35">
      <c r="A141" s="3" t="s">
        <v>394</v>
      </c>
      <c r="B141" s="4" t="s">
        <v>62</v>
      </c>
      <c r="C141" s="17" t="s">
        <v>24</v>
      </c>
      <c r="D141" s="17" t="s">
        <v>616</v>
      </c>
      <c r="E141" s="4" t="s">
        <v>57</v>
      </c>
      <c r="F141" s="1">
        <v>2080</v>
      </c>
      <c r="G141" s="13">
        <f t="shared" si="2"/>
        <v>24.96</v>
      </c>
      <c r="H141" s="4"/>
    </row>
    <row r="142" spans="1:8" x14ac:dyDescent="0.35">
      <c r="A142" s="3" t="s">
        <v>395</v>
      </c>
      <c r="B142" s="4" t="s">
        <v>63</v>
      </c>
      <c r="C142" s="28" t="s">
        <v>391</v>
      </c>
      <c r="D142" s="17" t="s">
        <v>616</v>
      </c>
      <c r="E142" s="4" t="s">
        <v>57</v>
      </c>
      <c r="F142" s="1">
        <f>1100+250</f>
        <v>1350</v>
      </c>
      <c r="G142" s="13">
        <f t="shared" si="2"/>
        <v>16.2</v>
      </c>
      <c r="H142" s="4"/>
    </row>
    <row r="143" spans="1:8" x14ac:dyDescent="0.35">
      <c r="A143" s="4"/>
      <c r="B143" s="34" t="s">
        <v>268</v>
      </c>
      <c r="C143" s="35"/>
      <c r="D143" s="17"/>
      <c r="E143" s="4"/>
      <c r="F143" s="7">
        <f>SUM(F5:F142)</f>
        <v>89429</v>
      </c>
      <c r="G143" s="7">
        <f>SUM(G5:G142)</f>
        <v>1073.1480000000001</v>
      </c>
      <c r="H143" s="4"/>
    </row>
    <row r="145" spans="2:8" x14ac:dyDescent="0.35">
      <c r="B145" s="33" t="s">
        <v>438</v>
      </c>
      <c r="C145" s="33"/>
      <c r="D145" s="31"/>
      <c r="F145" s="33" t="s">
        <v>439</v>
      </c>
      <c r="G145" s="33"/>
      <c r="H145" s="33"/>
    </row>
  </sheetData>
  <autoFilter ref="A4:H143" xr:uid="{DDA5A43E-7ED4-4143-92F6-DEE38ECEB094}"/>
  <mergeCells count="4">
    <mergeCell ref="A1:H1"/>
    <mergeCell ref="B143:C143"/>
    <mergeCell ref="B145:C145"/>
    <mergeCell ref="F145:H145"/>
  </mergeCells>
  <phoneticPr fontId="2" type="noConversion"/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5C0C-5B31-40EE-916B-63D340042737}">
  <dimension ref="A1:H193"/>
  <sheetViews>
    <sheetView topLeftCell="A174" zoomScaleNormal="100" workbookViewId="0">
      <selection activeCell="D5" sqref="D5:D190"/>
    </sheetView>
  </sheetViews>
  <sheetFormatPr defaultColWidth="9.1796875" defaultRowHeight="16.5" x14ac:dyDescent="0.35"/>
  <cols>
    <col min="1" max="1" width="5.453125" style="6" bestFit="1" customWidth="1"/>
    <col min="2" max="2" width="25.6328125" style="6" bestFit="1" customWidth="1"/>
    <col min="3" max="4" width="29.453125" style="20" customWidth="1"/>
    <col min="5" max="5" width="6.54296875" style="6" bestFit="1" customWidth="1"/>
    <col min="6" max="6" width="11" style="8" customWidth="1"/>
    <col min="7" max="7" width="11.453125" style="6" bestFit="1" customWidth="1"/>
    <col min="8" max="8" width="14.453125" style="6" customWidth="1"/>
    <col min="9" max="16384" width="9.1796875" style="6"/>
  </cols>
  <sheetData>
    <row r="1" spans="1:8" x14ac:dyDescent="0.35">
      <c r="A1" s="33" t="s">
        <v>611</v>
      </c>
      <c r="B1" s="33"/>
      <c r="C1" s="33"/>
      <c r="D1" s="33"/>
      <c r="E1" s="33"/>
      <c r="F1" s="33"/>
      <c r="G1" s="33"/>
      <c r="H1" s="33"/>
    </row>
    <row r="3" spans="1:8" ht="33" x14ac:dyDescent="0.35">
      <c r="A3" s="9" t="s">
        <v>64</v>
      </c>
      <c r="B3" s="9" t="s">
        <v>433</v>
      </c>
      <c r="C3" s="16" t="s">
        <v>434</v>
      </c>
      <c r="D3" s="16" t="s">
        <v>615</v>
      </c>
      <c r="E3" s="9" t="s">
        <v>435</v>
      </c>
      <c r="F3" s="10" t="s">
        <v>437</v>
      </c>
      <c r="G3" s="9" t="s">
        <v>469</v>
      </c>
      <c r="H3" s="9" t="s">
        <v>489</v>
      </c>
    </row>
    <row r="4" spans="1:8" x14ac:dyDescent="0.35">
      <c r="A4" s="9">
        <v>1</v>
      </c>
      <c r="B4" s="9">
        <v>2</v>
      </c>
      <c r="C4" s="16">
        <v>3</v>
      </c>
      <c r="D4" s="16"/>
      <c r="E4" s="9">
        <v>4</v>
      </c>
      <c r="F4" s="9">
        <v>5</v>
      </c>
      <c r="G4" s="9">
        <v>6</v>
      </c>
      <c r="H4" s="9">
        <v>9</v>
      </c>
    </row>
    <row r="5" spans="1:8" x14ac:dyDescent="0.35">
      <c r="A5" s="3" t="s">
        <v>135</v>
      </c>
      <c r="B5" s="4" t="s">
        <v>490</v>
      </c>
      <c r="C5" s="17" t="s">
        <v>491</v>
      </c>
      <c r="D5" s="17" t="s">
        <v>616</v>
      </c>
      <c r="E5" s="4" t="s">
        <v>492</v>
      </c>
      <c r="F5" s="1">
        <v>480</v>
      </c>
      <c r="G5" s="13">
        <f>(6/500)*F5</f>
        <v>5.76</v>
      </c>
      <c r="H5" s="4"/>
    </row>
    <row r="6" spans="1:8" x14ac:dyDescent="0.35">
      <c r="A6" s="3" t="s">
        <v>136</v>
      </c>
      <c r="B6" s="4" t="s">
        <v>493</v>
      </c>
      <c r="C6" s="17" t="s">
        <v>491</v>
      </c>
      <c r="D6" s="17" t="s">
        <v>616</v>
      </c>
      <c r="E6" s="4" t="s">
        <v>492</v>
      </c>
      <c r="F6" s="1">
        <v>510</v>
      </c>
      <c r="G6" s="13">
        <f t="shared" ref="G6:G69" si="0">(6/500)*F6</f>
        <v>6.12</v>
      </c>
      <c r="H6" s="4"/>
    </row>
    <row r="7" spans="1:8" x14ac:dyDescent="0.35">
      <c r="A7" s="3" t="s">
        <v>137</v>
      </c>
      <c r="B7" s="4" t="s">
        <v>5</v>
      </c>
      <c r="C7" s="14" t="s">
        <v>5</v>
      </c>
      <c r="D7" s="17" t="s">
        <v>616</v>
      </c>
      <c r="E7" s="4" t="s">
        <v>492</v>
      </c>
      <c r="F7" s="1">
        <v>815</v>
      </c>
      <c r="G7" s="13">
        <f t="shared" si="0"/>
        <v>9.7799999999999994</v>
      </c>
      <c r="H7" s="4"/>
    </row>
    <row r="8" spans="1:8" x14ac:dyDescent="0.35">
      <c r="A8" s="3" t="s">
        <v>138</v>
      </c>
      <c r="B8" s="4" t="s">
        <v>494</v>
      </c>
      <c r="C8" s="26" t="s">
        <v>427</v>
      </c>
      <c r="D8" s="17" t="s">
        <v>616</v>
      </c>
      <c r="E8" s="4" t="s">
        <v>492</v>
      </c>
      <c r="F8" s="1">
        <v>900</v>
      </c>
      <c r="G8" s="13">
        <f t="shared" si="0"/>
        <v>10.8</v>
      </c>
      <c r="H8" s="4"/>
    </row>
    <row r="9" spans="1:8" x14ac:dyDescent="0.35">
      <c r="A9" s="3" t="s">
        <v>139</v>
      </c>
      <c r="B9" s="4" t="s">
        <v>495</v>
      </c>
      <c r="C9" s="14" t="s">
        <v>496</v>
      </c>
      <c r="D9" s="17" t="s">
        <v>616</v>
      </c>
      <c r="E9" s="4" t="s">
        <v>492</v>
      </c>
      <c r="F9" s="1">
        <v>585</v>
      </c>
      <c r="G9" s="13">
        <f t="shared" si="0"/>
        <v>7.0200000000000005</v>
      </c>
      <c r="H9" s="4"/>
    </row>
    <row r="10" spans="1:8" x14ac:dyDescent="0.35">
      <c r="A10" s="3" t="s">
        <v>140</v>
      </c>
      <c r="B10" s="4" t="s">
        <v>496</v>
      </c>
      <c r="C10" s="14" t="s">
        <v>496</v>
      </c>
      <c r="D10" s="17" t="s">
        <v>616</v>
      </c>
      <c r="E10" s="4" t="s">
        <v>492</v>
      </c>
      <c r="F10" s="1">
        <v>465</v>
      </c>
      <c r="G10" s="13">
        <f t="shared" si="0"/>
        <v>5.58</v>
      </c>
      <c r="H10" s="4"/>
    </row>
    <row r="11" spans="1:8" x14ac:dyDescent="0.35">
      <c r="A11" s="3" t="s">
        <v>141</v>
      </c>
      <c r="B11" s="4" t="s">
        <v>79</v>
      </c>
      <c r="C11" s="14" t="s">
        <v>275</v>
      </c>
      <c r="D11" s="17" t="s">
        <v>616</v>
      </c>
      <c r="E11" s="4" t="s">
        <v>492</v>
      </c>
      <c r="F11" s="1">
        <v>230</v>
      </c>
      <c r="G11" s="13">
        <f t="shared" si="0"/>
        <v>2.7600000000000002</v>
      </c>
      <c r="H11" s="4"/>
    </row>
    <row r="12" spans="1:8" x14ac:dyDescent="0.35">
      <c r="A12" s="3" t="s">
        <v>142</v>
      </c>
      <c r="B12" s="4" t="s">
        <v>497</v>
      </c>
      <c r="C12" s="14" t="s">
        <v>275</v>
      </c>
      <c r="D12" s="17" t="s">
        <v>616</v>
      </c>
      <c r="E12" s="4" t="s">
        <v>492</v>
      </c>
      <c r="F12" s="1">
        <v>680</v>
      </c>
      <c r="G12" s="13">
        <f t="shared" si="0"/>
        <v>8.16</v>
      </c>
      <c r="H12" s="4"/>
    </row>
    <row r="13" spans="1:8" x14ac:dyDescent="0.35">
      <c r="A13" s="3" t="s">
        <v>143</v>
      </c>
      <c r="B13" s="4" t="s">
        <v>4</v>
      </c>
      <c r="C13" s="14" t="s">
        <v>4</v>
      </c>
      <c r="D13" s="17" t="s">
        <v>616</v>
      </c>
      <c r="E13" s="4" t="s">
        <v>492</v>
      </c>
      <c r="F13" s="1">
        <v>950</v>
      </c>
      <c r="G13" s="13">
        <f t="shared" si="0"/>
        <v>11.4</v>
      </c>
      <c r="H13" s="4"/>
    </row>
    <row r="14" spans="1:8" x14ac:dyDescent="0.35">
      <c r="A14" s="3" t="s">
        <v>134</v>
      </c>
      <c r="B14" s="4" t="s">
        <v>56</v>
      </c>
      <c r="C14" s="14" t="s">
        <v>56</v>
      </c>
      <c r="D14" s="17" t="s">
        <v>616</v>
      </c>
      <c r="E14" s="4" t="s">
        <v>492</v>
      </c>
      <c r="F14" s="1">
        <v>960</v>
      </c>
      <c r="G14" s="13">
        <f t="shared" si="0"/>
        <v>11.52</v>
      </c>
      <c r="H14" s="4"/>
    </row>
    <row r="15" spans="1:8" x14ac:dyDescent="0.35">
      <c r="A15" s="3" t="s">
        <v>144</v>
      </c>
      <c r="B15" s="4" t="s">
        <v>14</v>
      </c>
      <c r="C15" s="17" t="s">
        <v>498</v>
      </c>
      <c r="D15" s="17" t="s">
        <v>616</v>
      </c>
      <c r="E15" s="4" t="s">
        <v>492</v>
      </c>
      <c r="F15" s="1">
        <v>960</v>
      </c>
      <c r="G15" s="13">
        <f t="shared" si="0"/>
        <v>11.52</v>
      </c>
      <c r="H15" s="4"/>
    </row>
    <row r="16" spans="1:8" x14ac:dyDescent="0.35">
      <c r="A16" s="3" t="s">
        <v>145</v>
      </c>
      <c r="B16" s="4" t="s">
        <v>420</v>
      </c>
      <c r="C16" s="25" t="s">
        <v>420</v>
      </c>
      <c r="D16" s="17" t="s">
        <v>616</v>
      </c>
      <c r="E16" s="4" t="s">
        <v>492</v>
      </c>
      <c r="F16" s="1">
        <v>870</v>
      </c>
      <c r="G16" s="13">
        <f t="shared" si="0"/>
        <v>10.44</v>
      </c>
      <c r="H16" s="4">
        <v>35</v>
      </c>
    </row>
    <row r="17" spans="1:8" x14ac:dyDescent="0.35">
      <c r="A17" s="3" t="s">
        <v>146</v>
      </c>
      <c r="B17" s="4" t="s">
        <v>499</v>
      </c>
      <c r="C17" s="14" t="s">
        <v>499</v>
      </c>
      <c r="D17" s="17" t="s">
        <v>616</v>
      </c>
      <c r="E17" s="4" t="s">
        <v>492</v>
      </c>
      <c r="F17" s="1">
        <v>970</v>
      </c>
      <c r="G17" s="13">
        <f t="shared" si="0"/>
        <v>11.64</v>
      </c>
      <c r="H17" s="4"/>
    </row>
    <row r="18" spans="1:8" x14ac:dyDescent="0.35">
      <c r="A18" s="3" t="s">
        <v>147</v>
      </c>
      <c r="B18" s="4" t="s">
        <v>71</v>
      </c>
      <c r="C18" s="17" t="s">
        <v>500</v>
      </c>
      <c r="D18" s="17" t="s">
        <v>616</v>
      </c>
      <c r="E18" s="4" t="s">
        <v>492</v>
      </c>
      <c r="F18" s="1">
        <v>920</v>
      </c>
      <c r="G18" s="13">
        <f t="shared" si="0"/>
        <v>11.040000000000001</v>
      </c>
      <c r="H18" s="4"/>
    </row>
    <row r="19" spans="1:8" x14ac:dyDescent="0.35">
      <c r="A19" s="3" t="s">
        <v>148</v>
      </c>
      <c r="B19" s="4" t="s">
        <v>10</v>
      </c>
      <c r="C19" s="24" t="s">
        <v>574</v>
      </c>
      <c r="D19" s="17" t="s">
        <v>616</v>
      </c>
      <c r="E19" s="4" t="s">
        <v>501</v>
      </c>
      <c r="F19" s="1">
        <v>1000</v>
      </c>
      <c r="G19" s="13">
        <f t="shared" si="0"/>
        <v>12</v>
      </c>
      <c r="H19" s="4">
        <v>7</v>
      </c>
    </row>
    <row r="20" spans="1:8" x14ac:dyDescent="0.35">
      <c r="A20" s="3" t="s">
        <v>149</v>
      </c>
      <c r="B20" s="4" t="s">
        <v>502</v>
      </c>
      <c r="C20" s="14" t="s">
        <v>502</v>
      </c>
      <c r="D20" s="17" t="s">
        <v>616</v>
      </c>
      <c r="E20" s="4" t="s">
        <v>501</v>
      </c>
      <c r="F20" s="1">
        <v>320</v>
      </c>
      <c r="G20" s="13">
        <f t="shared" si="0"/>
        <v>3.84</v>
      </c>
      <c r="H20" s="4"/>
    </row>
    <row r="21" spans="1:8" x14ac:dyDescent="0.35">
      <c r="A21" s="3" t="s">
        <v>150</v>
      </c>
      <c r="B21" s="4" t="s">
        <v>503</v>
      </c>
      <c r="C21" s="14" t="s">
        <v>502</v>
      </c>
      <c r="D21" s="17" t="s">
        <v>616</v>
      </c>
      <c r="E21" s="4" t="s">
        <v>501</v>
      </c>
      <c r="F21" s="1">
        <v>500</v>
      </c>
      <c r="G21" s="13">
        <f t="shared" si="0"/>
        <v>6</v>
      </c>
      <c r="H21" s="4"/>
    </row>
    <row r="22" spans="1:8" x14ac:dyDescent="0.35">
      <c r="A22" s="3" t="s">
        <v>151</v>
      </c>
      <c r="B22" s="4" t="s">
        <v>12</v>
      </c>
      <c r="C22" s="26" t="s">
        <v>115</v>
      </c>
      <c r="D22" s="17" t="s">
        <v>616</v>
      </c>
      <c r="E22" s="4" t="s">
        <v>501</v>
      </c>
      <c r="F22" s="1">
        <v>950</v>
      </c>
      <c r="G22" s="13">
        <f t="shared" si="0"/>
        <v>11.4</v>
      </c>
      <c r="H22" s="4"/>
    </row>
    <row r="23" spans="1:8" x14ac:dyDescent="0.35">
      <c r="A23" s="3" t="s">
        <v>152</v>
      </c>
      <c r="B23" s="4" t="s">
        <v>414</v>
      </c>
      <c r="C23" s="14" t="s">
        <v>414</v>
      </c>
      <c r="D23" s="17" t="s">
        <v>616</v>
      </c>
      <c r="E23" s="4" t="s">
        <v>501</v>
      </c>
      <c r="F23" s="1">
        <v>1650</v>
      </c>
      <c r="G23" s="13">
        <f t="shared" si="0"/>
        <v>19.8</v>
      </c>
      <c r="H23" s="4"/>
    </row>
    <row r="24" spans="1:8" x14ac:dyDescent="0.35">
      <c r="A24" s="3" t="s">
        <v>153</v>
      </c>
      <c r="B24" s="4" t="s">
        <v>276</v>
      </c>
      <c r="C24" s="14" t="s">
        <v>276</v>
      </c>
      <c r="D24" s="17" t="s">
        <v>616</v>
      </c>
      <c r="E24" s="4" t="s">
        <v>501</v>
      </c>
      <c r="F24" s="1">
        <v>740</v>
      </c>
      <c r="G24" s="13">
        <f t="shared" si="0"/>
        <v>8.8800000000000008</v>
      </c>
      <c r="H24" s="4"/>
    </row>
    <row r="25" spans="1:8" x14ac:dyDescent="0.35">
      <c r="A25" s="3" t="s">
        <v>154</v>
      </c>
      <c r="B25" s="4" t="s">
        <v>504</v>
      </c>
      <c r="C25" s="26" t="s">
        <v>115</v>
      </c>
      <c r="D25" s="17" t="s">
        <v>616</v>
      </c>
      <c r="E25" s="4" t="s">
        <v>501</v>
      </c>
      <c r="F25" s="1">
        <v>700</v>
      </c>
      <c r="G25" s="13">
        <f t="shared" si="0"/>
        <v>8.4</v>
      </c>
      <c r="H25" s="4"/>
    </row>
    <row r="26" spans="1:8" x14ac:dyDescent="0.35">
      <c r="A26" s="3" t="s">
        <v>155</v>
      </c>
      <c r="B26" s="4" t="s">
        <v>505</v>
      </c>
      <c r="C26" s="14" t="s">
        <v>505</v>
      </c>
      <c r="D26" s="17" t="s">
        <v>616</v>
      </c>
      <c r="E26" s="4" t="s">
        <v>501</v>
      </c>
      <c r="F26" s="1">
        <v>1650</v>
      </c>
      <c r="G26" s="13">
        <f t="shared" si="0"/>
        <v>19.8</v>
      </c>
      <c r="H26" s="4"/>
    </row>
    <row r="27" spans="1:8" x14ac:dyDescent="0.35">
      <c r="A27" s="3" t="s">
        <v>156</v>
      </c>
      <c r="B27" s="4" t="s">
        <v>58</v>
      </c>
      <c r="C27" s="17" t="s">
        <v>109</v>
      </c>
      <c r="D27" s="17" t="s">
        <v>616</v>
      </c>
      <c r="E27" s="4" t="s">
        <v>501</v>
      </c>
      <c r="F27" s="1">
        <v>1250</v>
      </c>
      <c r="G27" s="13">
        <f t="shared" si="0"/>
        <v>15</v>
      </c>
      <c r="H27" s="4"/>
    </row>
    <row r="28" spans="1:8" x14ac:dyDescent="0.35">
      <c r="A28" s="3" t="s">
        <v>157</v>
      </c>
      <c r="B28" s="4" t="s">
        <v>71</v>
      </c>
      <c r="C28" s="25" t="s">
        <v>71</v>
      </c>
      <c r="D28" s="17" t="s">
        <v>616</v>
      </c>
      <c r="E28" s="4" t="s">
        <v>501</v>
      </c>
      <c r="F28" s="1">
        <v>800</v>
      </c>
      <c r="G28" s="13">
        <f t="shared" si="0"/>
        <v>9.6</v>
      </c>
      <c r="H28" s="4">
        <v>20</v>
      </c>
    </row>
    <row r="29" spans="1:8" x14ac:dyDescent="0.35">
      <c r="A29" s="3" t="s">
        <v>158</v>
      </c>
      <c r="B29" s="4" t="s">
        <v>32</v>
      </c>
      <c r="C29" s="17" t="s">
        <v>2</v>
      </c>
      <c r="D29" s="17" t="s">
        <v>616</v>
      </c>
      <c r="E29" s="4" t="s">
        <v>501</v>
      </c>
      <c r="F29" s="1">
        <v>400</v>
      </c>
      <c r="G29" s="13">
        <f t="shared" si="0"/>
        <v>4.8</v>
      </c>
      <c r="H29" s="4"/>
    </row>
    <row r="30" spans="1:8" x14ac:dyDescent="0.35">
      <c r="A30" s="3" t="s">
        <v>159</v>
      </c>
      <c r="B30" s="4" t="s">
        <v>506</v>
      </c>
      <c r="C30" s="14" t="s">
        <v>507</v>
      </c>
      <c r="D30" s="17" t="s">
        <v>616</v>
      </c>
      <c r="E30" s="4" t="s">
        <v>501</v>
      </c>
      <c r="F30" s="1">
        <v>740</v>
      </c>
      <c r="G30" s="13">
        <f t="shared" si="0"/>
        <v>8.8800000000000008</v>
      </c>
      <c r="H30" s="4"/>
    </row>
    <row r="31" spans="1:8" x14ac:dyDescent="0.35">
      <c r="A31" s="3" t="s">
        <v>160</v>
      </c>
      <c r="B31" s="4" t="s">
        <v>391</v>
      </c>
      <c r="C31" s="26" t="s">
        <v>391</v>
      </c>
      <c r="D31" s="17" t="s">
        <v>616</v>
      </c>
      <c r="E31" s="4" t="s">
        <v>501</v>
      </c>
      <c r="F31" s="1">
        <v>1000</v>
      </c>
      <c r="G31" s="13">
        <f t="shared" si="0"/>
        <v>12</v>
      </c>
      <c r="H31" s="4"/>
    </row>
    <row r="32" spans="1:8" x14ac:dyDescent="0.35">
      <c r="A32" s="3" t="s">
        <v>161</v>
      </c>
      <c r="B32" s="4" t="s">
        <v>508</v>
      </c>
      <c r="C32" s="17" t="s">
        <v>2</v>
      </c>
      <c r="D32" s="17" t="s">
        <v>616</v>
      </c>
      <c r="E32" s="4" t="s">
        <v>501</v>
      </c>
      <c r="F32" s="1">
        <v>790</v>
      </c>
      <c r="G32" s="13">
        <f t="shared" si="0"/>
        <v>9.48</v>
      </c>
      <c r="H32" s="4"/>
    </row>
    <row r="33" spans="1:8" x14ac:dyDescent="0.35">
      <c r="A33" s="3" t="s">
        <v>162</v>
      </c>
      <c r="B33" s="4" t="s">
        <v>509</v>
      </c>
      <c r="C33" s="26" t="s">
        <v>509</v>
      </c>
      <c r="D33" s="17" t="s">
        <v>616</v>
      </c>
      <c r="E33" s="4" t="s">
        <v>510</v>
      </c>
      <c r="F33" s="1">
        <v>2150</v>
      </c>
      <c r="G33" s="13">
        <f t="shared" si="0"/>
        <v>25.8</v>
      </c>
      <c r="H33" s="4"/>
    </row>
    <row r="34" spans="1:8" x14ac:dyDescent="0.35">
      <c r="A34" s="3" t="s">
        <v>163</v>
      </c>
      <c r="B34" s="4" t="s">
        <v>36</v>
      </c>
      <c r="C34" s="26" t="s">
        <v>509</v>
      </c>
      <c r="D34" s="17" t="s">
        <v>616</v>
      </c>
      <c r="E34" s="4" t="s">
        <v>510</v>
      </c>
      <c r="F34" s="1">
        <v>500</v>
      </c>
      <c r="G34" s="13">
        <f t="shared" si="0"/>
        <v>6</v>
      </c>
      <c r="H34" s="4"/>
    </row>
    <row r="35" spans="1:8" x14ac:dyDescent="0.35">
      <c r="A35" s="3" t="s">
        <v>164</v>
      </c>
      <c r="B35" s="4" t="s">
        <v>506</v>
      </c>
      <c r="C35" s="14" t="s">
        <v>507</v>
      </c>
      <c r="D35" s="17" t="s">
        <v>616</v>
      </c>
      <c r="E35" s="4" t="s">
        <v>510</v>
      </c>
      <c r="F35" s="1">
        <v>500</v>
      </c>
      <c r="G35" s="13">
        <f t="shared" si="0"/>
        <v>6</v>
      </c>
      <c r="H35" s="4"/>
    </row>
    <row r="36" spans="1:8" x14ac:dyDescent="0.35">
      <c r="A36" s="3" t="s">
        <v>165</v>
      </c>
      <c r="B36" s="4" t="s">
        <v>115</v>
      </c>
      <c r="C36" s="26" t="s">
        <v>509</v>
      </c>
      <c r="D36" s="17" t="s">
        <v>616</v>
      </c>
      <c r="E36" s="4" t="s">
        <v>510</v>
      </c>
      <c r="F36" s="1">
        <v>1000</v>
      </c>
      <c r="G36" s="13">
        <f t="shared" si="0"/>
        <v>12</v>
      </c>
      <c r="H36" s="4"/>
    </row>
    <row r="37" spans="1:8" x14ac:dyDescent="0.35">
      <c r="A37" s="3" t="s">
        <v>166</v>
      </c>
      <c r="B37" s="4" t="s">
        <v>44</v>
      </c>
      <c r="C37" s="14" t="s">
        <v>44</v>
      </c>
      <c r="D37" s="17" t="s">
        <v>616</v>
      </c>
      <c r="E37" s="4" t="s">
        <v>510</v>
      </c>
      <c r="F37" s="1">
        <v>600</v>
      </c>
      <c r="G37" s="13">
        <f t="shared" si="0"/>
        <v>7.2</v>
      </c>
      <c r="H37" s="4"/>
    </row>
    <row r="38" spans="1:8" x14ac:dyDescent="0.35">
      <c r="A38" s="3" t="s">
        <v>167</v>
      </c>
      <c r="B38" s="4" t="s">
        <v>39</v>
      </c>
      <c r="C38" s="17" t="s">
        <v>53</v>
      </c>
      <c r="D38" s="17" t="s">
        <v>616</v>
      </c>
      <c r="E38" s="4" t="s">
        <v>510</v>
      </c>
      <c r="F38" s="1">
        <v>500</v>
      </c>
      <c r="G38" s="13">
        <f t="shared" si="0"/>
        <v>6</v>
      </c>
      <c r="H38" s="4"/>
    </row>
    <row r="39" spans="1:8" ht="18" x14ac:dyDescent="0.4">
      <c r="A39" s="3" t="s">
        <v>168</v>
      </c>
      <c r="B39" s="4" t="s">
        <v>511</v>
      </c>
      <c r="C39" s="23" t="s">
        <v>511</v>
      </c>
      <c r="D39" s="17" t="s">
        <v>616</v>
      </c>
      <c r="E39" s="4" t="s">
        <v>510</v>
      </c>
      <c r="F39" s="1">
        <v>500</v>
      </c>
      <c r="G39" s="13">
        <f t="shared" si="0"/>
        <v>6</v>
      </c>
      <c r="H39" s="4"/>
    </row>
    <row r="40" spans="1:8" x14ac:dyDescent="0.35">
      <c r="A40" s="3" t="s">
        <v>169</v>
      </c>
      <c r="B40" s="4" t="s">
        <v>276</v>
      </c>
      <c r="C40" s="14" t="s">
        <v>276</v>
      </c>
      <c r="D40" s="17" t="s">
        <v>616</v>
      </c>
      <c r="E40" s="4" t="s">
        <v>510</v>
      </c>
      <c r="F40" s="1">
        <v>500</v>
      </c>
      <c r="G40" s="13">
        <f t="shared" si="0"/>
        <v>6</v>
      </c>
      <c r="H40" s="4"/>
    </row>
    <row r="41" spans="1:8" x14ac:dyDescent="0.35">
      <c r="A41" s="3" t="s">
        <v>170</v>
      </c>
      <c r="B41" s="4" t="s">
        <v>391</v>
      </c>
      <c r="C41" s="17" t="s">
        <v>512</v>
      </c>
      <c r="D41" s="17" t="s">
        <v>616</v>
      </c>
      <c r="E41" s="4" t="s">
        <v>510</v>
      </c>
      <c r="F41" s="1">
        <v>500</v>
      </c>
      <c r="G41" s="13">
        <f t="shared" si="0"/>
        <v>6</v>
      </c>
      <c r="H41" s="4"/>
    </row>
    <row r="42" spans="1:8" x14ac:dyDescent="0.35">
      <c r="A42" s="3" t="s">
        <v>171</v>
      </c>
      <c r="B42" s="4" t="s">
        <v>513</v>
      </c>
      <c r="C42" s="17" t="s">
        <v>512</v>
      </c>
      <c r="D42" s="17" t="s">
        <v>616</v>
      </c>
      <c r="E42" s="4" t="s">
        <v>510</v>
      </c>
      <c r="F42" s="1">
        <v>500</v>
      </c>
      <c r="G42" s="13">
        <f t="shared" si="0"/>
        <v>6</v>
      </c>
      <c r="H42" s="4"/>
    </row>
    <row r="43" spans="1:8" x14ac:dyDescent="0.35">
      <c r="A43" s="3" t="s">
        <v>172</v>
      </c>
      <c r="B43" s="4" t="s">
        <v>514</v>
      </c>
      <c r="C43" s="26" t="s">
        <v>514</v>
      </c>
      <c r="D43" s="17" t="s">
        <v>616</v>
      </c>
      <c r="E43" s="4" t="s">
        <v>510</v>
      </c>
      <c r="F43" s="1">
        <v>500</v>
      </c>
      <c r="G43" s="13">
        <f t="shared" si="0"/>
        <v>6</v>
      </c>
      <c r="H43" s="4"/>
    </row>
    <row r="44" spans="1:8" x14ac:dyDescent="0.35">
      <c r="A44" s="3" t="s">
        <v>173</v>
      </c>
      <c r="B44" s="4" t="s">
        <v>515</v>
      </c>
      <c r="C44" s="4" t="s">
        <v>515</v>
      </c>
      <c r="D44" s="17" t="s">
        <v>616</v>
      </c>
      <c r="E44" s="4" t="s">
        <v>510</v>
      </c>
      <c r="F44" s="1">
        <v>500</v>
      </c>
      <c r="G44" s="13">
        <f t="shared" si="0"/>
        <v>6</v>
      </c>
      <c r="H44" s="4"/>
    </row>
    <row r="45" spans="1:8" x14ac:dyDescent="0.35">
      <c r="A45" s="3" t="s">
        <v>174</v>
      </c>
      <c r="B45" s="4" t="s">
        <v>516</v>
      </c>
      <c r="C45" s="4" t="s">
        <v>517</v>
      </c>
      <c r="D45" s="17" t="s">
        <v>616</v>
      </c>
      <c r="E45" s="4" t="s">
        <v>510</v>
      </c>
      <c r="F45" s="1">
        <v>500</v>
      </c>
      <c r="G45" s="13">
        <f t="shared" si="0"/>
        <v>6</v>
      </c>
      <c r="H45" s="4"/>
    </row>
    <row r="46" spans="1:8" x14ac:dyDescent="0.35">
      <c r="A46" s="3" t="s">
        <v>175</v>
      </c>
      <c r="B46" s="4" t="s">
        <v>390</v>
      </c>
      <c r="C46" s="14" t="s">
        <v>390</v>
      </c>
      <c r="D46" s="17" t="s">
        <v>616</v>
      </c>
      <c r="E46" s="4" t="s">
        <v>510</v>
      </c>
      <c r="F46" s="1">
        <v>1000</v>
      </c>
      <c r="G46" s="13">
        <f t="shared" si="0"/>
        <v>12</v>
      </c>
      <c r="H46" s="4"/>
    </row>
    <row r="47" spans="1:8" x14ac:dyDescent="0.35">
      <c r="A47" s="3" t="s">
        <v>176</v>
      </c>
      <c r="B47" s="4" t="s">
        <v>417</v>
      </c>
      <c r="C47" s="14" t="s">
        <v>417</v>
      </c>
      <c r="D47" s="17" t="s">
        <v>616</v>
      </c>
      <c r="E47" s="4" t="s">
        <v>510</v>
      </c>
      <c r="F47" s="1">
        <v>500</v>
      </c>
      <c r="G47" s="13">
        <f t="shared" si="0"/>
        <v>6</v>
      </c>
      <c r="H47" s="4"/>
    </row>
    <row r="48" spans="1:8" x14ac:dyDescent="0.35">
      <c r="A48" s="3" t="s">
        <v>177</v>
      </c>
      <c r="B48" s="4" t="s">
        <v>505</v>
      </c>
      <c r="C48" s="17" t="s">
        <v>518</v>
      </c>
      <c r="D48" s="17" t="s">
        <v>616</v>
      </c>
      <c r="E48" s="4" t="s">
        <v>510</v>
      </c>
      <c r="F48" s="1">
        <v>500</v>
      </c>
      <c r="G48" s="13">
        <f t="shared" si="0"/>
        <v>6</v>
      </c>
      <c r="H48" s="4"/>
    </row>
    <row r="49" spans="1:8" x14ac:dyDescent="0.35">
      <c r="A49" s="3" t="s">
        <v>178</v>
      </c>
      <c r="B49" s="4" t="s">
        <v>519</v>
      </c>
      <c r="C49" s="26" t="s">
        <v>125</v>
      </c>
      <c r="D49" s="17" t="s">
        <v>616</v>
      </c>
      <c r="E49" s="4" t="s">
        <v>510</v>
      </c>
      <c r="F49" s="1">
        <v>750</v>
      </c>
      <c r="G49" s="13">
        <f t="shared" si="0"/>
        <v>9</v>
      </c>
      <c r="H49" s="4"/>
    </row>
    <row r="50" spans="1:8" x14ac:dyDescent="0.35">
      <c r="A50" s="3" t="s">
        <v>179</v>
      </c>
      <c r="B50" s="4" t="s">
        <v>23</v>
      </c>
      <c r="C50" s="14" t="s">
        <v>520</v>
      </c>
      <c r="D50" s="17" t="s">
        <v>616</v>
      </c>
      <c r="E50" s="4" t="s">
        <v>510</v>
      </c>
      <c r="F50" s="1">
        <v>750</v>
      </c>
      <c r="G50" s="13">
        <f t="shared" si="0"/>
        <v>9</v>
      </c>
      <c r="H50" s="4"/>
    </row>
    <row r="51" spans="1:8" x14ac:dyDescent="0.35">
      <c r="A51" s="3" t="s">
        <v>180</v>
      </c>
      <c r="B51" s="4" t="s">
        <v>519</v>
      </c>
      <c r="C51" s="26" t="s">
        <v>519</v>
      </c>
      <c r="D51" s="17" t="s">
        <v>616</v>
      </c>
      <c r="E51" s="4" t="s">
        <v>521</v>
      </c>
      <c r="F51" s="1">
        <v>815</v>
      </c>
      <c r="G51" s="13">
        <f t="shared" si="0"/>
        <v>9.7799999999999994</v>
      </c>
      <c r="H51" s="4"/>
    </row>
    <row r="52" spans="1:8" x14ac:dyDescent="0.35">
      <c r="A52" s="3" t="s">
        <v>181</v>
      </c>
      <c r="B52" s="4" t="s">
        <v>522</v>
      </c>
      <c r="C52" s="17" t="s">
        <v>523</v>
      </c>
      <c r="D52" s="17" t="s">
        <v>616</v>
      </c>
      <c r="E52" s="4" t="s">
        <v>521</v>
      </c>
      <c r="F52" s="1">
        <v>1208</v>
      </c>
      <c r="G52" s="13">
        <f t="shared" si="0"/>
        <v>14.496</v>
      </c>
      <c r="H52" s="4"/>
    </row>
    <row r="53" spans="1:8" x14ac:dyDescent="0.35">
      <c r="A53" s="3" t="s">
        <v>182</v>
      </c>
      <c r="B53" s="4" t="s">
        <v>430</v>
      </c>
      <c r="C53" s="14" t="s">
        <v>430</v>
      </c>
      <c r="D53" s="17" t="s">
        <v>616</v>
      </c>
      <c r="E53" s="4" t="s">
        <v>521</v>
      </c>
      <c r="F53" s="1">
        <v>476</v>
      </c>
      <c r="G53" s="13">
        <f t="shared" si="0"/>
        <v>5.7119999999999997</v>
      </c>
      <c r="H53" s="4"/>
    </row>
    <row r="54" spans="1:8" x14ac:dyDescent="0.35">
      <c r="A54" s="3" t="s">
        <v>183</v>
      </c>
      <c r="B54" s="4" t="s">
        <v>44</v>
      </c>
      <c r="C54" s="14" t="s">
        <v>44</v>
      </c>
      <c r="D54" s="17" t="s">
        <v>616</v>
      </c>
      <c r="E54" s="4" t="s">
        <v>521</v>
      </c>
      <c r="F54" s="1">
        <v>800</v>
      </c>
      <c r="G54" s="13">
        <f t="shared" si="0"/>
        <v>9.6</v>
      </c>
      <c r="H54" s="4"/>
    </row>
    <row r="55" spans="1:8" x14ac:dyDescent="0.35">
      <c r="A55" s="3" t="s">
        <v>184</v>
      </c>
      <c r="B55" s="4" t="s">
        <v>47</v>
      </c>
      <c r="C55" s="14" t="s">
        <v>66</v>
      </c>
      <c r="D55" s="17" t="s">
        <v>616</v>
      </c>
      <c r="E55" s="4" t="s">
        <v>521</v>
      </c>
      <c r="F55" s="1">
        <v>478</v>
      </c>
      <c r="G55" s="13">
        <f t="shared" si="0"/>
        <v>5.7359999999999998</v>
      </c>
      <c r="H55" s="4"/>
    </row>
    <row r="56" spans="1:8" x14ac:dyDescent="0.35">
      <c r="A56" s="3" t="s">
        <v>185</v>
      </c>
      <c r="B56" s="4" t="s">
        <v>66</v>
      </c>
      <c r="C56" s="14" t="s">
        <v>66</v>
      </c>
      <c r="D56" s="17" t="s">
        <v>616</v>
      </c>
      <c r="E56" s="4" t="s">
        <v>521</v>
      </c>
      <c r="F56" s="1">
        <v>480</v>
      </c>
      <c r="G56" s="13">
        <f t="shared" si="0"/>
        <v>5.76</v>
      </c>
      <c r="H56" s="4"/>
    </row>
    <row r="57" spans="1:8" x14ac:dyDescent="0.35">
      <c r="A57" s="3" t="s">
        <v>186</v>
      </c>
      <c r="B57" s="4" t="s">
        <v>131</v>
      </c>
      <c r="C57" s="14" t="s">
        <v>524</v>
      </c>
      <c r="D57" s="17" t="s">
        <v>616</v>
      </c>
      <c r="E57" s="4" t="s">
        <v>521</v>
      </c>
      <c r="F57" s="1">
        <v>384</v>
      </c>
      <c r="G57" s="13">
        <f t="shared" si="0"/>
        <v>4.6080000000000005</v>
      </c>
      <c r="H57" s="4"/>
    </row>
    <row r="58" spans="1:8" x14ac:dyDescent="0.35">
      <c r="A58" s="3" t="s">
        <v>187</v>
      </c>
      <c r="B58" s="4" t="s">
        <v>525</v>
      </c>
      <c r="C58" s="5" t="s">
        <v>101</v>
      </c>
      <c r="D58" s="17" t="s">
        <v>616</v>
      </c>
      <c r="E58" s="4" t="s">
        <v>521</v>
      </c>
      <c r="F58" s="1">
        <v>1150</v>
      </c>
      <c r="G58" s="13">
        <f t="shared" si="0"/>
        <v>13.8</v>
      </c>
      <c r="H58" s="4"/>
    </row>
    <row r="59" spans="1:8" x14ac:dyDescent="0.35">
      <c r="A59" s="3" t="s">
        <v>188</v>
      </c>
      <c r="B59" s="4" t="s">
        <v>6</v>
      </c>
      <c r="C59" s="14" t="s">
        <v>6</v>
      </c>
      <c r="D59" s="17" t="s">
        <v>616</v>
      </c>
      <c r="E59" s="4" t="s">
        <v>521</v>
      </c>
      <c r="F59" s="1">
        <v>485</v>
      </c>
      <c r="G59" s="13">
        <f t="shared" si="0"/>
        <v>5.82</v>
      </c>
      <c r="H59" s="4"/>
    </row>
    <row r="60" spans="1:8" x14ac:dyDescent="0.35">
      <c r="A60" s="3" t="s">
        <v>189</v>
      </c>
      <c r="B60" s="4" t="s">
        <v>526</v>
      </c>
      <c r="C60" s="25" t="s">
        <v>526</v>
      </c>
      <c r="D60" s="17" t="s">
        <v>616</v>
      </c>
      <c r="E60" s="4" t="s">
        <v>521</v>
      </c>
      <c r="F60" s="1">
        <v>485</v>
      </c>
      <c r="G60" s="13">
        <f t="shared" si="0"/>
        <v>5.82</v>
      </c>
      <c r="H60" s="4">
        <v>16</v>
      </c>
    </row>
    <row r="61" spans="1:8" x14ac:dyDescent="0.35">
      <c r="A61" s="3" t="s">
        <v>190</v>
      </c>
      <c r="B61" s="4" t="s">
        <v>527</v>
      </c>
      <c r="C61" s="4" t="s">
        <v>528</v>
      </c>
      <c r="D61" s="17" t="s">
        <v>616</v>
      </c>
      <c r="E61" s="4" t="s">
        <v>521</v>
      </c>
      <c r="F61" s="1">
        <v>964</v>
      </c>
      <c r="G61" s="13">
        <f t="shared" si="0"/>
        <v>11.568</v>
      </c>
      <c r="H61" s="4"/>
    </row>
    <row r="62" spans="1:8" x14ac:dyDescent="0.35">
      <c r="A62" s="3" t="s">
        <v>191</v>
      </c>
      <c r="B62" s="4" t="s">
        <v>529</v>
      </c>
      <c r="C62" s="26" t="s">
        <v>514</v>
      </c>
      <c r="D62" s="17" t="s">
        <v>616</v>
      </c>
      <c r="E62" s="4" t="s">
        <v>521</v>
      </c>
      <c r="F62" s="1">
        <v>1156</v>
      </c>
      <c r="G62" s="13">
        <f t="shared" si="0"/>
        <v>13.872</v>
      </c>
      <c r="H62" s="4"/>
    </row>
    <row r="63" spans="1:8" x14ac:dyDescent="0.35">
      <c r="A63" s="3" t="s">
        <v>192</v>
      </c>
      <c r="B63" s="4" t="s">
        <v>530</v>
      </c>
      <c r="C63" s="27" t="s">
        <v>115</v>
      </c>
      <c r="D63" s="17" t="s">
        <v>616</v>
      </c>
      <c r="E63" s="4" t="s">
        <v>521</v>
      </c>
      <c r="F63" s="1">
        <v>1268</v>
      </c>
      <c r="G63" s="13">
        <f t="shared" si="0"/>
        <v>15.216000000000001</v>
      </c>
      <c r="H63" s="4"/>
    </row>
    <row r="64" spans="1:8" x14ac:dyDescent="0.35">
      <c r="A64" s="3" t="s">
        <v>193</v>
      </c>
      <c r="B64" s="4" t="s">
        <v>429</v>
      </c>
      <c r="C64" s="24" t="s">
        <v>420</v>
      </c>
      <c r="D64" s="17" t="s">
        <v>616</v>
      </c>
      <c r="E64" s="4" t="s">
        <v>521</v>
      </c>
      <c r="F64" s="1">
        <v>980</v>
      </c>
      <c r="G64" s="13">
        <f t="shared" si="0"/>
        <v>11.76</v>
      </c>
      <c r="H64" s="4"/>
    </row>
    <row r="65" spans="1:8" x14ac:dyDescent="0.35">
      <c r="A65" s="3" t="s">
        <v>194</v>
      </c>
      <c r="B65" s="4" t="s">
        <v>531</v>
      </c>
      <c r="C65" s="25" t="s">
        <v>531</v>
      </c>
      <c r="D65" s="17" t="s">
        <v>616</v>
      </c>
      <c r="E65" s="4" t="s">
        <v>521</v>
      </c>
      <c r="F65" s="1">
        <v>728</v>
      </c>
      <c r="G65" s="13">
        <f t="shared" si="0"/>
        <v>8.7360000000000007</v>
      </c>
      <c r="H65" s="4">
        <v>30</v>
      </c>
    </row>
    <row r="66" spans="1:8" x14ac:dyDescent="0.35">
      <c r="A66" s="3" t="s">
        <v>195</v>
      </c>
      <c r="B66" s="4" t="s">
        <v>506</v>
      </c>
      <c r="C66" s="14" t="s">
        <v>507</v>
      </c>
      <c r="D66" s="17" t="s">
        <v>616</v>
      </c>
      <c r="E66" s="4" t="s">
        <v>532</v>
      </c>
      <c r="F66" s="1">
        <v>570</v>
      </c>
      <c r="G66" s="13">
        <f t="shared" si="0"/>
        <v>6.84</v>
      </c>
      <c r="H66" s="4"/>
    </row>
    <row r="67" spans="1:8" x14ac:dyDescent="0.35">
      <c r="A67" s="3" t="s">
        <v>196</v>
      </c>
      <c r="B67" s="4" t="s">
        <v>55</v>
      </c>
      <c r="C67" s="14" t="s">
        <v>28</v>
      </c>
      <c r="D67" s="17" t="s">
        <v>616</v>
      </c>
      <c r="E67" s="4" t="s">
        <v>532</v>
      </c>
      <c r="F67" s="1">
        <v>500</v>
      </c>
      <c r="G67" s="13">
        <f t="shared" si="0"/>
        <v>6</v>
      </c>
      <c r="H67" s="4"/>
    </row>
    <row r="68" spans="1:8" x14ac:dyDescent="0.35">
      <c r="A68" s="3" t="s">
        <v>197</v>
      </c>
      <c r="B68" s="4" t="s">
        <v>533</v>
      </c>
      <c r="C68" s="5"/>
      <c r="D68" s="17" t="s">
        <v>616</v>
      </c>
      <c r="E68" s="4" t="s">
        <v>532</v>
      </c>
      <c r="F68" s="1">
        <v>500</v>
      </c>
      <c r="G68" s="13">
        <f t="shared" si="0"/>
        <v>6</v>
      </c>
      <c r="H68" s="4"/>
    </row>
    <row r="69" spans="1:8" x14ac:dyDescent="0.35">
      <c r="A69" s="3" t="s">
        <v>198</v>
      </c>
      <c r="B69" s="4" t="s">
        <v>291</v>
      </c>
      <c r="C69" s="14" t="s">
        <v>534</v>
      </c>
      <c r="D69" s="17" t="s">
        <v>616</v>
      </c>
      <c r="E69" s="4" t="s">
        <v>532</v>
      </c>
      <c r="F69" s="1">
        <v>700</v>
      </c>
      <c r="G69" s="13">
        <f t="shared" si="0"/>
        <v>8.4</v>
      </c>
      <c r="H69" s="4"/>
    </row>
    <row r="70" spans="1:8" x14ac:dyDescent="0.35">
      <c r="A70" s="3" t="s">
        <v>199</v>
      </c>
      <c r="B70" s="4" t="s">
        <v>27</v>
      </c>
      <c r="C70" s="14" t="s">
        <v>53</v>
      </c>
      <c r="D70" s="17" t="s">
        <v>616</v>
      </c>
      <c r="E70" s="4" t="s">
        <v>532</v>
      </c>
      <c r="F70" s="1">
        <v>500</v>
      </c>
      <c r="G70" s="13">
        <f t="shared" ref="G70:G133" si="1">(6/500)*F70</f>
        <v>6</v>
      </c>
      <c r="H70" s="4"/>
    </row>
    <row r="71" spans="1:8" x14ac:dyDescent="0.35">
      <c r="A71" s="3" t="s">
        <v>200</v>
      </c>
      <c r="B71" s="4" t="s">
        <v>21</v>
      </c>
      <c r="C71" s="25" t="s">
        <v>20</v>
      </c>
      <c r="D71" s="17" t="s">
        <v>616</v>
      </c>
      <c r="E71" s="4" t="s">
        <v>532</v>
      </c>
      <c r="F71" s="1">
        <v>500</v>
      </c>
      <c r="G71" s="13">
        <f t="shared" si="1"/>
        <v>6</v>
      </c>
      <c r="H71" s="4">
        <v>21</v>
      </c>
    </row>
    <row r="72" spans="1:8" x14ac:dyDescent="0.35">
      <c r="A72" s="3" t="s">
        <v>201</v>
      </c>
      <c r="B72" s="4" t="s">
        <v>4</v>
      </c>
      <c r="C72" s="14" t="s">
        <v>4</v>
      </c>
      <c r="D72" s="17" t="s">
        <v>616</v>
      </c>
      <c r="E72" s="4" t="s">
        <v>532</v>
      </c>
      <c r="F72" s="1">
        <v>370</v>
      </c>
      <c r="G72" s="13">
        <f t="shared" si="1"/>
        <v>4.4400000000000004</v>
      </c>
      <c r="H72" s="4"/>
    </row>
    <row r="73" spans="1:8" x14ac:dyDescent="0.35">
      <c r="A73" s="3" t="s">
        <v>202</v>
      </c>
      <c r="B73" s="4" t="s">
        <v>269</v>
      </c>
      <c r="C73" s="4" t="s">
        <v>269</v>
      </c>
      <c r="D73" s="17" t="s">
        <v>616</v>
      </c>
      <c r="E73" s="4" t="s">
        <v>532</v>
      </c>
      <c r="F73" s="1">
        <v>500</v>
      </c>
      <c r="G73" s="13">
        <f t="shared" si="1"/>
        <v>6</v>
      </c>
      <c r="H73" s="4"/>
    </row>
    <row r="74" spans="1:8" x14ac:dyDescent="0.35">
      <c r="A74" s="3" t="s">
        <v>203</v>
      </c>
      <c r="B74" s="4" t="s">
        <v>26</v>
      </c>
      <c r="C74" s="17" t="s">
        <v>520</v>
      </c>
      <c r="D74" s="17" t="s">
        <v>616</v>
      </c>
      <c r="E74" s="4" t="s">
        <v>532</v>
      </c>
      <c r="F74" s="1">
        <v>500</v>
      </c>
      <c r="G74" s="13">
        <f t="shared" si="1"/>
        <v>6</v>
      </c>
      <c r="H74" s="4"/>
    </row>
    <row r="75" spans="1:8" x14ac:dyDescent="0.35">
      <c r="A75" s="3" t="s">
        <v>204</v>
      </c>
      <c r="B75" s="4" t="s">
        <v>535</v>
      </c>
      <c r="C75" s="14" t="s">
        <v>53</v>
      </c>
      <c r="D75" s="17" t="s">
        <v>616</v>
      </c>
      <c r="E75" s="4" t="s">
        <v>532</v>
      </c>
      <c r="F75" s="1">
        <v>500</v>
      </c>
      <c r="G75" s="13">
        <f t="shared" si="1"/>
        <v>6</v>
      </c>
      <c r="H75" s="4"/>
    </row>
    <row r="76" spans="1:8" x14ac:dyDescent="0.35">
      <c r="A76" s="3" t="s">
        <v>205</v>
      </c>
      <c r="B76" s="4" t="s">
        <v>385</v>
      </c>
      <c r="C76" s="17" t="s">
        <v>536</v>
      </c>
      <c r="D76" s="17" t="s">
        <v>616</v>
      </c>
      <c r="E76" s="4" t="s">
        <v>532</v>
      </c>
      <c r="F76" s="1">
        <v>500</v>
      </c>
      <c r="G76" s="13">
        <f t="shared" si="1"/>
        <v>6</v>
      </c>
      <c r="H76" s="4"/>
    </row>
    <row r="77" spans="1:8" x14ac:dyDescent="0.35">
      <c r="A77" s="3" t="s">
        <v>206</v>
      </c>
      <c r="B77" s="4" t="s">
        <v>278</v>
      </c>
      <c r="C77" s="14" t="s">
        <v>534</v>
      </c>
      <c r="D77" s="17" t="s">
        <v>616</v>
      </c>
      <c r="E77" s="4" t="s">
        <v>532</v>
      </c>
      <c r="F77" s="1">
        <v>500</v>
      </c>
      <c r="G77" s="13">
        <f t="shared" si="1"/>
        <v>6</v>
      </c>
      <c r="H77" s="4"/>
    </row>
    <row r="78" spans="1:8" x14ac:dyDescent="0.35">
      <c r="A78" s="3" t="s">
        <v>207</v>
      </c>
      <c r="B78" s="4" t="s">
        <v>537</v>
      </c>
      <c r="C78" s="14" t="s">
        <v>537</v>
      </c>
      <c r="D78" s="17" t="s">
        <v>616</v>
      </c>
      <c r="E78" s="4" t="s">
        <v>532</v>
      </c>
      <c r="F78" s="1">
        <v>740</v>
      </c>
      <c r="G78" s="13">
        <f t="shared" si="1"/>
        <v>8.8800000000000008</v>
      </c>
      <c r="H78" s="4"/>
    </row>
    <row r="79" spans="1:8" x14ac:dyDescent="0.35">
      <c r="A79" s="3" t="s">
        <v>208</v>
      </c>
      <c r="B79" s="4" t="s">
        <v>276</v>
      </c>
      <c r="C79" s="27" t="s">
        <v>125</v>
      </c>
      <c r="D79" s="17" t="s">
        <v>616</v>
      </c>
      <c r="E79" s="4" t="s">
        <v>532</v>
      </c>
      <c r="F79" s="1">
        <v>487</v>
      </c>
      <c r="G79" s="13">
        <f t="shared" si="1"/>
        <v>5.8440000000000003</v>
      </c>
      <c r="H79" s="4"/>
    </row>
    <row r="80" spans="1:8" x14ac:dyDescent="0.35">
      <c r="A80" s="3" t="s">
        <v>209</v>
      </c>
      <c r="B80" s="4" t="s">
        <v>70</v>
      </c>
      <c r="C80" s="14" t="s">
        <v>538</v>
      </c>
      <c r="D80" s="17" t="s">
        <v>616</v>
      </c>
      <c r="E80" s="4" t="s">
        <v>532</v>
      </c>
      <c r="F80" s="1">
        <v>750</v>
      </c>
      <c r="G80" s="13">
        <f t="shared" si="1"/>
        <v>9</v>
      </c>
      <c r="H80" s="4"/>
    </row>
    <row r="81" spans="1:8" x14ac:dyDescent="0.35">
      <c r="A81" s="3" t="s">
        <v>210</v>
      </c>
      <c r="B81" s="4" t="s">
        <v>109</v>
      </c>
      <c r="C81" s="17" t="s">
        <v>539</v>
      </c>
      <c r="D81" s="17" t="s">
        <v>616</v>
      </c>
      <c r="E81" s="4" t="s">
        <v>532</v>
      </c>
      <c r="F81" s="1">
        <v>590</v>
      </c>
      <c r="G81" s="13">
        <f t="shared" si="1"/>
        <v>7.08</v>
      </c>
      <c r="H81" s="4"/>
    </row>
    <row r="82" spans="1:8" x14ac:dyDescent="0.35">
      <c r="A82" s="3" t="s">
        <v>211</v>
      </c>
      <c r="B82" s="4" t="s">
        <v>420</v>
      </c>
      <c r="C82" s="25" t="s">
        <v>420</v>
      </c>
      <c r="D82" s="17" t="s">
        <v>616</v>
      </c>
      <c r="E82" s="4" t="s">
        <v>532</v>
      </c>
      <c r="F82" s="1">
        <v>790</v>
      </c>
      <c r="G82" s="13">
        <f t="shared" si="1"/>
        <v>9.48</v>
      </c>
      <c r="H82" s="4"/>
    </row>
    <row r="83" spans="1:8" x14ac:dyDescent="0.35">
      <c r="A83" s="3" t="s">
        <v>212</v>
      </c>
      <c r="B83" s="4" t="s">
        <v>540</v>
      </c>
      <c r="C83" s="5" t="s">
        <v>541</v>
      </c>
      <c r="D83" s="17" t="s">
        <v>616</v>
      </c>
      <c r="E83" s="4" t="s">
        <v>532</v>
      </c>
      <c r="F83" s="1">
        <v>1000</v>
      </c>
      <c r="G83" s="13">
        <f t="shared" si="1"/>
        <v>12</v>
      </c>
      <c r="H83" s="4"/>
    </row>
    <row r="84" spans="1:8" x14ac:dyDescent="0.35">
      <c r="A84" s="3" t="s">
        <v>213</v>
      </c>
      <c r="B84" s="4" t="s">
        <v>414</v>
      </c>
      <c r="C84" s="14" t="s">
        <v>414</v>
      </c>
      <c r="D84" s="17" t="s">
        <v>616</v>
      </c>
      <c r="E84" s="4" t="s">
        <v>532</v>
      </c>
      <c r="F84" s="1">
        <v>590</v>
      </c>
      <c r="G84" s="13">
        <f t="shared" si="1"/>
        <v>7.08</v>
      </c>
      <c r="H84" s="4"/>
    </row>
    <row r="85" spans="1:8" x14ac:dyDescent="0.35">
      <c r="A85" s="3" t="s">
        <v>214</v>
      </c>
      <c r="B85" s="4" t="s">
        <v>123</v>
      </c>
      <c r="C85" s="24" t="s">
        <v>542</v>
      </c>
      <c r="D85" s="17" t="s">
        <v>616</v>
      </c>
      <c r="E85" s="4" t="s">
        <v>532</v>
      </c>
      <c r="F85" s="1">
        <v>440</v>
      </c>
      <c r="G85" s="13">
        <f t="shared" si="1"/>
        <v>5.28</v>
      </c>
      <c r="H85" s="4">
        <v>13</v>
      </c>
    </row>
    <row r="86" spans="1:8" x14ac:dyDescent="0.35">
      <c r="A86" s="3" t="s">
        <v>215</v>
      </c>
      <c r="B86" s="4" t="s">
        <v>80</v>
      </c>
      <c r="C86" s="14" t="s">
        <v>80</v>
      </c>
      <c r="D86" s="17" t="s">
        <v>616</v>
      </c>
      <c r="E86" s="4" t="s">
        <v>532</v>
      </c>
      <c r="F86" s="1">
        <v>790</v>
      </c>
      <c r="G86" s="13">
        <f t="shared" si="1"/>
        <v>9.48</v>
      </c>
      <c r="H86" s="4"/>
    </row>
    <row r="87" spans="1:8" x14ac:dyDescent="0.35">
      <c r="A87" s="3" t="s">
        <v>216</v>
      </c>
      <c r="B87" s="4" t="s">
        <v>104</v>
      </c>
      <c r="C87" s="4" t="s">
        <v>517</v>
      </c>
      <c r="D87" s="17" t="s">
        <v>616</v>
      </c>
      <c r="E87" s="4" t="s">
        <v>543</v>
      </c>
      <c r="F87" s="1">
        <v>500</v>
      </c>
      <c r="G87" s="13">
        <f t="shared" si="1"/>
        <v>6</v>
      </c>
      <c r="H87" s="4"/>
    </row>
    <row r="88" spans="1:8" x14ac:dyDescent="0.35">
      <c r="A88" s="3" t="s">
        <v>217</v>
      </c>
      <c r="B88" s="4" t="s">
        <v>417</v>
      </c>
      <c r="C88" s="14" t="s">
        <v>417</v>
      </c>
      <c r="D88" s="17" t="s">
        <v>616</v>
      </c>
      <c r="E88" s="4" t="s">
        <v>543</v>
      </c>
      <c r="F88" s="1">
        <v>500</v>
      </c>
      <c r="G88" s="13">
        <f t="shared" si="1"/>
        <v>6</v>
      </c>
      <c r="H88" s="4"/>
    </row>
    <row r="89" spans="1:8" x14ac:dyDescent="0.35">
      <c r="A89" s="3" t="s">
        <v>218</v>
      </c>
      <c r="B89" s="4" t="s">
        <v>511</v>
      </c>
      <c r="C89" s="14" t="s">
        <v>511</v>
      </c>
      <c r="D89" s="17" t="s">
        <v>616</v>
      </c>
      <c r="E89" s="4" t="s">
        <v>543</v>
      </c>
      <c r="F89" s="1">
        <v>500</v>
      </c>
      <c r="G89" s="13">
        <f t="shared" si="1"/>
        <v>6</v>
      </c>
      <c r="H89" s="4"/>
    </row>
    <row r="90" spans="1:8" x14ac:dyDescent="0.35">
      <c r="A90" s="3" t="s">
        <v>219</v>
      </c>
      <c r="B90" s="4" t="s">
        <v>23</v>
      </c>
      <c r="C90" s="14" t="s">
        <v>520</v>
      </c>
      <c r="D90" s="17" t="s">
        <v>616</v>
      </c>
      <c r="E90" s="4" t="s">
        <v>543</v>
      </c>
      <c r="F90" s="1">
        <v>500</v>
      </c>
      <c r="G90" s="13">
        <f t="shared" si="1"/>
        <v>6</v>
      </c>
      <c r="H90" s="4"/>
    </row>
    <row r="91" spans="1:8" x14ac:dyDescent="0.35">
      <c r="A91" s="3" t="s">
        <v>220</v>
      </c>
      <c r="B91" s="4" t="s">
        <v>544</v>
      </c>
      <c r="C91" s="14" t="s">
        <v>544</v>
      </c>
      <c r="D91" s="17" t="s">
        <v>616</v>
      </c>
      <c r="E91" s="4" t="s">
        <v>543</v>
      </c>
      <c r="F91" s="1">
        <v>500</v>
      </c>
      <c r="G91" s="13">
        <f t="shared" si="1"/>
        <v>6</v>
      </c>
      <c r="H91" s="4"/>
    </row>
    <row r="92" spans="1:8" x14ac:dyDescent="0.35">
      <c r="A92" s="3" t="s">
        <v>221</v>
      </c>
      <c r="B92" s="4" t="s">
        <v>545</v>
      </c>
      <c r="C92" s="14" t="s">
        <v>545</v>
      </c>
      <c r="D92" s="17" t="s">
        <v>616</v>
      </c>
      <c r="E92" s="4" t="s">
        <v>543</v>
      </c>
      <c r="F92" s="1">
        <v>500</v>
      </c>
      <c r="G92" s="13">
        <f t="shared" si="1"/>
        <v>6</v>
      </c>
      <c r="H92" s="4"/>
    </row>
    <row r="93" spans="1:8" x14ac:dyDescent="0.35">
      <c r="A93" s="3" t="s">
        <v>222</v>
      </c>
      <c r="B93" s="4" t="s">
        <v>519</v>
      </c>
      <c r="C93" s="26" t="s">
        <v>115</v>
      </c>
      <c r="D93" s="17" t="s">
        <v>616</v>
      </c>
      <c r="E93" s="4" t="s">
        <v>543</v>
      </c>
      <c r="F93" s="1">
        <v>1500</v>
      </c>
      <c r="G93" s="13">
        <f t="shared" si="1"/>
        <v>18</v>
      </c>
      <c r="H93" s="4"/>
    </row>
    <row r="94" spans="1:8" x14ac:dyDescent="0.35">
      <c r="A94" s="3" t="s">
        <v>223</v>
      </c>
      <c r="B94" s="4" t="s">
        <v>14</v>
      </c>
      <c r="C94" s="17" t="s">
        <v>498</v>
      </c>
      <c r="D94" s="17" t="s">
        <v>616</v>
      </c>
      <c r="E94" s="4" t="s">
        <v>543</v>
      </c>
      <c r="F94" s="1">
        <v>1830</v>
      </c>
      <c r="G94" s="13">
        <f t="shared" si="1"/>
        <v>21.96</v>
      </c>
      <c r="H94" s="4"/>
    </row>
    <row r="95" spans="1:8" x14ac:dyDescent="0.35">
      <c r="A95" s="3" t="s">
        <v>224</v>
      </c>
      <c r="B95" s="4" t="s">
        <v>509</v>
      </c>
      <c r="C95" s="26" t="s">
        <v>115</v>
      </c>
      <c r="D95" s="17" t="s">
        <v>616</v>
      </c>
      <c r="E95" s="4" t="s">
        <v>543</v>
      </c>
      <c r="F95" s="1">
        <v>1500</v>
      </c>
      <c r="G95" s="13">
        <f t="shared" si="1"/>
        <v>18</v>
      </c>
      <c r="H95" s="4"/>
    </row>
    <row r="96" spans="1:8" x14ac:dyDescent="0.35">
      <c r="A96" s="3" t="s">
        <v>225</v>
      </c>
      <c r="B96" s="4" t="s">
        <v>546</v>
      </c>
      <c r="C96" s="26" t="s">
        <v>546</v>
      </c>
      <c r="D96" s="17" t="s">
        <v>616</v>
      </c>
      <c r="E96" s="4" t="s">
        <v>543</v>
      </c>
      <c r="F96" s="1">
        <v>500</v>
      </c>
      <c r="G96" s="13">
        <f t="shared" si="1"/>
        <v>6</v>
      </c>
      <c r="H96" s="4"/>
    </row>
    <row r="97" spans="1:8" x14ac:dyDescent="0.35">
      <c r="A97" s="3" t="s">
        <v>226</v>
      </c>
      <c r="B97" s="4" t="s">
        <v>414</v>
      </c>
      <c r="C97" s="14" t="s">
        <v>414</v>
      </c>
      <c r="D97" s="17" t="s">
        <v>616</v>
      </c>
      <c r="E97" s="4" t="s">
        <v>543</v>
      </c>
      <c r="F97" s="1">
        <v>1000</v>
      </c>
      <c r="G97" s="13">
        <f t="shared" si="1"/>
        <v>12</v>
      </c>
      <c r="H97" s="4"/>
    </row>
    <row r="98" spans="1:8" x14ac:dyDescent="0.35">
      <c r="A98" s="3" t="s">
        <v>227</v>
      </c>
      <c r="B98" s="4" t="s">
        <v>23</v>
      </c>
      <c r="C98" s="26" t="s">
        <v>125</v>
      </c>
      <c r="D98" s="17" t="s">
        <v>616</v>
      </c>
      <c r="E98" s="4" t="s">
        <v>543</v>
      </c>
      <c r="F98" s="1">
        <v>500</v>
      </c>
      <c r="G98" s="13">
        <f t="shared" si="1"/>
        <v>6</v>
      </c>
      <c r="H98" s="4"/>
    </row>
    <row r="99" spans="1:8" x14ac:dyDescent="0.35">
      <c r="A99" s="3" t="s">
        <v>228</v>
      </c>
      <c r="B99" s="4" t="s">
        <v>2</v>
      </c>
      <c r="C99" s="26" t="s">
        <v>125</v>
      </c>
      <c r="D99" s="17" t="s">
        <v>616</v>
      </c>
      <c r="E99" s="4" t="s">
        <v>543</v>
      </c>
      <c r="F99" s="1">
        <v>500</v>
      </c>
      <c r="G99" s="13">
        <f t="shared" si="1"/>
        <v>6</v>
      </c>
      <c r="H99" s="4"/>
    </row>
    <row r="100" spans="1:8" x14ac:dyDescent="0.35">
      <c r="A100" s="3" t="s">
        <v>229</v>
      </c>
      <c r="B100" s="4" t="s">
        <v>505</v>
      </c>
      <c r="C100" s="26" t="s">
        <v>125</v>
      </c>
      <c r="D100" s="17" t="s">
        <v>616</v>
      </c>
      <c r="E100" s="4" t="s">
        <v>543</v>
      </c>
      <c r="F100" s="1">
        <v>500</v>
      </c>
      <c r="G100" s="13">
        <f t="shared" si="1"/>
        <v>6</v>
      </c>
      <c r="H100" s="4"/>
    </row>
    <row r="101" spans="1:8" x14ac:dyDescent="0.35">
      <c r="A101" s="3" t="s">
        <v>230</v>
      </c>
      <c r="B101" s="4" t="s">
        <v>513</v>
      </c>
      <c r="C101" s="17" t="s">
        <v>545</v>
      </c>
      <c r="D101" s="17" t="s">
        <v>616</v>
      </c>
      <c r="E101" s="4" t="s">
        <v>543</v>
      </c>
      <c r="F101" s="1">
        <v>500</v>
      </c>
      <c r="G101" s="13">
        <f t="shared" si="1"/>
        <v>6</v>
      </c>
      <c r="H101" s="4"/>
    </row>
    <row r="102" spans="1:8" x14ac:dyDescent="0.35">
      <c r="A102" s="3" t="s">
        <v>231</v>
      </c>
      <c r="B102" s="4" t="s">
        <v>514</v>
      </c>
      <c r="C102" s="26" t="s">
        <v>514</v>
      </c>
      <c r="D102" s="17" t="s">
        <v>616</v>
      </c>
      <c r="E102" s="4" t="s">
        <v>543</v>
      </c>
      <c r="F102" s="1">
        <v>700</v>
      </c>
      <c r="G102" s="13">
        <f t="shared" si="1"/>
        <v>8.4</v>
      </c>
      <c r="H102" s="4"/>
    </row>
    <row r="103" spans="1:8" x14ac:dyDescent="0.35">
      <c r="A103" s="3" t="s">
        <v>232</v>
      </c>
      <c r="B103" s="4" t="s">
        <v>547</v>
      </c>
      <c r="C103" s="14" t="s">
        <v>547</v>
      </c>
      <c r="D103" s="17" t="s">
        <v>616</v>
      </c>
      <c r="E103" s="4" t="s">
        <v>548</v>
      </c>
      <c r="F103" s="1">
        <v>1062</v>
      </c>
      <c r="G103" s="13">
        <f t="shared" si="1"/>
        <v>12.744</v>
      </c>
      <c r="H103" s="4"/>
    </row>
    <row r="104" spans="1:8" x14ac:dyDescent="0.35">
      <c r="A104" s="3" t="s">
        <v>233</v>
      </c>
      <c r="B104" s="5" t="s">
        <v>518</v>
      </c>
      <c r="C104" s="17" t="s">
        <v>518</v>
      </c>
      <c r="D104" s="17" t="s">
        <v>616</v>
      </c>
      <c r="E104" s="4" t="s">
        <v>548</v>
      </c>
      <c r="F104" s="1">
        <v>483</v>
      </c>
      <c r="G104" s="13">
        <f t="shared" si="1"/>
        <v>5.7960000000000003</v>
      </c>
      <c r="H104" s="4"/>
    </row>
    <row r="105" spans="1:8" x14ac:dyDescent="0.35">
      <c r="A105" s="3" t="s">
        <v>234</v>
      </c>
      <c r="B105" s="4" t="s">
        <v>519</v>
      </c>
      <c r="C105" s="14" t="s">
        <v>511</v>
      </c>
      <c r="D105" s="17" t="s">
        <v>616</v>
      </c>
      <c r="E105" s="4" t="s">
        <v>548</v>
      </c>
      <c r="F105" s="1">
        <v>480</v>
      </c>
      <c r="G105" s="13">
        <f t="shared" si="1"/>
        <v>5.76</v>
      </c>
      <c r="H105" s="4"/>
    </row>
    <row r="106" spans="1:8" x14ac:dyDescent="0.35">
      <c r="A106" s="3" t="s">
        <v>235</v>
      </c>
      <c r="B106" s="4" t="s">
        <v>511</v>
      </c>
      <c r="C106" s="14" t="s">
        <v>511</v>
      </c>
      <c r="D106" s="17" t="s">
        <v>616</v>
      </c>
      <c r="E106" s="4" t="s">
        <v>548</v>
      </c>
      <c r="F106" s="1">
        <v>477</v>
      </c>
      <c r="G106" s="13">
        <f t="shared" si="1"/>
        <v>5.7240000000000002</v>
      </c>
      <c r="H106" s="4"/>
    </row>
    <row r="107" spans="1:8" x14ac:dyDescent="0.35">
      <c r="A107" s="3" t="s">
        <v>236</v>
      </c>
      <c r="B107" s="4" t="s">
        <v>417</v>
      </c>
      <c r="C107" s="14" t="s">
        <v>417</v>
      </c>
      <c r="D107" s="17" t="s">
        <v>616</v>
      </c>
      <c r="E107" s="4" t="s">
        <v>548</v>
      </c>
      <c r="F107" s="1">
        <v>477</v>
      </c>
      <c r="G107" s="13">
        <f t="shared" si="1"/>
        <v>5.7240000000000002</v>
      </c>
      <c r="H107" s="4"/>
    </row>
    <row r="108" spans="1:8" x14ac:dyDescent="0.35">
      <c r="A108" s="3" t="s">
        <v>237</v>
      </c>
      <c r="B108" s="4" t="s">
        <v>540</v>
      </c>
      <c r="C108" s="5" t="s">
        <v>549</v>
      </c>
      <c r="D108" s="17" t="s">
        <v>616</v>
      </c>
      <c r="E108" s="4" t="s">
        <v>548</v>
      </c>
      <c r="F108" s="1">
        <v>960</v>
      </c>
      <c r="G108" s="13">
        <f t="shared" si="1"/>
        <v>11.52</v>
      </c>
      <c r="H108" s="4"/>
    </row>
    <row r="109" spans="1:8" x14ac:dyDescent="0.35">
      <c r="A109" s="3" t="s">
        <v>238</v>
      </c>
      <c r="B109" s="4" t="s">
        <v>504</v>
      </c>
      <c r="C109" s="5" t="s">
        <v>550</v>
      </c>
      <c r="D109" s="17" t="s">
        <v>616</v>
      </c>
      <c r="E109" s="4" t="s">
        <v>548</v>
      </c>
      <c r="F109" s="1">
        <v>974</v>
      </c>
      <c r="G109" s="13">
        <f t="shared" si="1"/>
        <v>11.688000000000001</v>
      </c>
      <c r="H109" s="4"/>
    </row>
    <row r="110" spans="1:8" x14ac:dyDescent="0.35">
      <c r="A110" s="3" t="s">
        <v>239</v>
      </c>
      <c r="B110" s="4" t="s">
        <v>17</v>
      </c>
      <c r="C110" s="14" t="s">
        <v>17</v>
      </c>
      <c r="D110" s="17" t="s">
        <v>616</v>
      </c>
      <c r="E110" s="4" t="s">
        <v>548</v>
      </c>
      <c r="F110" s="1">
        <v>1665</v>
      </c>
      <c r="G110" s="13">
        <f t="shared" si="1"/>
        <v>19.98</v>
      </c>
      <c r="H110" s="4"/>
    </row>
    <row r="111" spans="1:8" x14ac:dyDescent="0.35">
      <c r="A111" s="3" t="s">
        <v>240</v>
      </c>
      <c r="B111" s="4" t="s">
        <v>551</v>
      </c>
      <c r="C111" s="14" t="s">
        <v>551</v>
      </c>
      <c r="D111" s="17" t="s">
        <v>616</v>
      </c>
      <c r="E111" s="4" t="s">
        <v>548</v>
      </c>
      <c r="F111" s="1">
        <v>960</v>
      </c>
      <c r="G111" s="13">
        <f t="shared" si="1"/>
        <v>11.52</v>
      </c>
      <c r="H111" s="4"/>
    </row>
    <row r="112" spans="1:8" x14ac:dyDescent="0.35">
      <c r="A112" s="3" t="s">
        <v>241</v>
      </c>
      <c r="B112" s="4" t="s">
        <v>34</v>
      </c>
      <c r="C112" s="14" t="s">
        <v>34</v>
      </c>
      <c r="D112" s="17" t="s">
        <v>616</v>
      </c>
      <c r="E112" s="4" t="s">
        <v>548</v>
      </c>
      <c r="F112" s="1">
        <v>945</v>
      </c>
      <c r="G112" s="13">
        <f t="shared" si="1"/>
        <v>11.34</v>
      </c>
      <c r="H112" s="4"/>
    </row>
    <row r="113" spans="1:8" x14ac:dyDescent="0.35">
      <c r="A113" s="3" t="s">
        <v>242</v>
      </c>
      <c r="B113" s="4" t="s">
        <v>552</v>
      </c>
      <c r="C113" s="27" t="s">
        <v>553</v>
      </c>
      <c r="D113" s="17" t="s">
        <v>616</v>
      </c>
      <c r="E113" s="4" t="s">
        <v>548</v>
      </c>
      <c r="F113" s="1">
        <v>970</v>
      </c>
      <c r="G113" s="13">
        <f t="shared" si="1"/>
        <v>11.64</v>
      </c>
      <c r="H113" s="4"/>
    </row>
    <row r="114" spans="1:8" x14ac:dyDescent="0.35">
      <c r="A114" s="3" t="s">
        <v>243</v>
      </c>
      <c r="B114" s="4" t="s">
        <v>554</v>
      </c>
      <c r="C114" s="27" t="s">
        <v>553</v>
      </c>
      <c r="D114" s="17" t="s">
        <v>616</v>
      </c>
      <c r="E114" s="4" t="s">
        <v>548</v>
      </c>
      <c r="F114" s="1">
        <v>480</v>
      </c>
      <c r="G114" s="13">
        <f t="shared" si="1"/>
        <v>5.76</v>
      </c>
      <c r="H114" s="4"/>
    </row>
    <row r="115" spans="1:8" x14ac:dyDescent="0.35">
      <c r="A115" s="3" t="s">
        <v>244</v>
      </c>
      <c r="B115" s="4" t="s">
        <v>502</v>
      </c>
      <c r="C115" s="5" t="s">
        <v>550</v>
      </c>
      <c r="D115" s="17" t="s">
        <v>616</v>
      </c>
      <c r="E115" s="4" t="s">
        <v>548</v>
      </c>
      <c r="F115" s="1">
        <v>480</v>
      </c>
      <c r="G115" s="13">
        <f t="shared" si="1"/>
        <v>5.76</v>
      </c>
      <c r="H115" s="4"/>
    </row>
    <row r="116" spans="1:8" x14ac:dyDescent="0.35">
      <c r="A116" s="3" t="s">
        <v>245</v>
      </c>
      <c r="B116" s="4" t="s">
        <v>39</v>
      </c>
      <c r="C116" s="14" t="s">
        <v>39</v>
      </c>
      <c r="D116" s="17" t="s">
        <v>616</v>
      </c>
      <c r="E116" s="4" t="s">
        <v>548</v>
      </c>
      <c r="F116" s="1">
        <v>482</v>
      </c>
      <c r="G116" s="13">
        <f t="shared" si="1"/>
        <v>5.7839999999999998</v>
      </c>
      <c r="H116" s="4"/>
    </row>
    <row r="117" spans="1:8" x14ac:dyDescent="0.35">
      <c r="A117" s="3" t="s">
        <v>246</v>
      </c>
      <c r="B117" s="4" t="s">
        <v>29</v>
      </c>
      <c r="C117" s="26" t="s">
        <v>29</v>
      </c>
      <c r="D117" s="17" t="s">
        <v>616</v>
      </c>
      <c r="E117" s="4" t="s">
        <v>548</v>
      </c>
      <c r="F117" s="1">
        <v>964</v>
      </c>
      <c r="G117" s="13">
        <f t="shared" si="1"/>
        <v>11.568</v>
      </c>
      <c r="H117" s="4"/>
    </row>
    <row r="118" spans="1:8" x14ac:dyDescent="0.35">
      <c r="A118" s="3" t="s">
        <v>247</v>
      </c>
      <c r="B118" s="4" t="s">
        <v>555</v>
      </c>
      <c r="C118" s="24" t="s">
        <v>351</v>
      </c>
      <c r="D118" s="17" t="s">
        <v>616</v>
      </c>
      <c r="E118" s="4" t="s">
        <v>548</v>
      </c>
      <c r="F118" s="1">
        <v>355</v>
      </c>
      <c r="G118" s="13">
        <f t="shared" si="1"/>
        <v>4.26</v>
      </c>
      <c r="H118" s="4"/>
    </row>
    <row r="119" spans="1:8" x14ac:dyDescent="0.35">
      <c r="A119" s="3" t="s">
        <v>248</v>
      </c>
      <c r="B119" s="4" t="s">
        <v>16</v>
      </c>
      <c r="C119" s="26" t="s">
        <v>16</v>
      </c>
      <c r="D119" s="17" t="s">
        <v>616</v>
      </c>
      <c r="E119" s="4" t="s">
        <v>557</v>
      </c>
      <c r="F119" s="1">
        <v>1100</v>
      </c>
      <c r="G119" s="13">
        <f t="shared" si="1"/>
        <v>13.200000000000001</v>
      </c>
      <c r="H119" s="4"/>
    </row>
    <row r="120" spans="1:8" x14ac:dyDescent="0.35">
      <c r="A120" s="3" t="s">
        <v>249</v>
      </c>
      <c r="B120" s="4" t="s">
        <v>269</v>
      </c>
      <c r="C120" s="4" t="s">
        <v>269</v>
      </c>
      <c r="D120" s="17" t="s">
        <v>616</v>
      </c>
      <c r="E120" s="4" t="s">
        <v>557</v>
      </c>
      <c r="F120" s="1">
        <v>1000</v>
      </c>
      <c r="G120" s="13">
        <f t="shared" si="1"/>
        <v>12</v>
      </c>
      <c r="H120" s="4"/>
    </row>
    <row r="121" spans="1:8" x14ac:dyDescent="0.35">
      <c r="A121" s="3" t="s">
        <v>250</v>
      </c>
      <c r="B121" s="4" t="s">
        <v>555</v>
      </c>
      <c r="C121" s="17" t="s">
        <v>556</v>
      </c>
      <c r="D121" s="17" t="s">
        <v>616</v>
      </c>
      <c r="E121" s="4" t="s">
        <v>557</v>
      </c>
      <c r="F121" s="1">
        <v>1150</v>
      </c>
      <c r="G121" s="13">
        <f t="shared" si="1"/>
        <v>13.8</v>
      </c>
      <c r="H121" s="4"/>
    </row>
    <row r="122" spans="1:8" x14ac:dyDescent="0.35">
      <c r="A122" s="3" t="s">
        <v>251</v>
      </c>
      <c r="B122" s="4" t="s">
        <v>43</v>
      </c>
      <c r="C122" s="14" t="s">
        <v>43</v>
      </c>
      <c r="D122" s="17" t="s">
        <v>616</v>
      </c>
      <c r="E122" s="4" t="s">
        <v>557</v>
      </c>
      <c r="F122" s="1">
        <v>1000</v>
      </c>
      <c r="G122" s="13">
        <f t="shared" si="1"/>
        <v>12</v>
      </c>
      <c r="H122" s="4"/>
    </row>
    <row r="123" spans="1:8" x14ac:dyDescent="0.35">
      <c r="A123" s="3" t="s">
        <v>252</v>
      </c>
      <c r="B123" s="4" t="s">
        <v>552</v>
      </c>
      <c r="C123" s="17" t="s">
        <v>545</v>
      </c>
      <c r="D123" s="17" t="s">
        <v>616</v>
      </c>
      <c r="E123" s="4" t="s">
        <v>557</v>
      </c>
      <c r="F123" s="1">
        <v>950</v>
      </c>
      <c r="G123" s="13">
        <f t="shared" si="1"/>
        <v>11.4</v>
      </c>
      <c r="H123" s="4"/>
    </row>
    <row r="124" spans="1:8" x14ac:dyDescent="0.35">
      <c r="A124" s="3" t="s">
        <v>253</v>
      </c>
      <c r="B124" s="4" t="s">
        <v>544</v>
      </c>
      <c r="C124" s="14" t="s">
        <v>544</v>
      </c>
      <c r="D124" s="17" t="s">
        <v>616</v>
      </c>
      <c r="E124" s="4" t="s">
        <v>557</v>
      </c>
      <c r="F124" s="1">
        <v>1000</v>
      </c>
      <c r="G124" s="13">
        <f t="shared" si="1"/>
        <v>12</v>
      </c>
      <c r="H124" s="4"/>
    </row>
    <row r="125" spans="1:8" x14ac:dyDescent="0.35">
      <c r="A125" s="3" t="s">
        <v>254</v>
      </c>
      <c r="B125" s="4" t="s">
        <v>415</v>
      </c>
      <c r="C125" s="14" t="s">
        <v>415</v>
      </c>
      <c r="D125" s="17" t="s">
        <v>616</v>
      </c>
      <c r="E125" s="4" t="s">
        <v>557</v>
      </c>
      <c r="F125" s="1">
        <v>1000</v>
      </c>
      <c r="G125" s="13">
        <f t="shared" si="1"/>
        <v>12</v>
      </c>
      <c r="H125" s="4"/>
    </row>
    <row r="126" spans="1:8" x14ac:dyDescent="0.35">
      <c r="A126" s="3" t="s">
        <v>255</v>
      </c>
      <c r="B126" s="4" t="s">
        <v>522</v>
      </c>
      <c r="C126" s="17" t="s">
        <v>523</v>
      </c>
      <c r="D126" s="17" t="s">
        <v>616</v>
      </c>
      <c r="E126" s="4" t="s">
        <v>557</v>
      </c>
      <c r="F126" s="1">
        <v>1445</v>
      </c>
      <c r="G126" s="13">
        <f t="shared" si="1"/>
        <v>17.34</v>
      </c>
      <c r="H126" s="4"/>
    </row>
    <row r="127" spans="1:8" x14ac:dyDescent="0.35">
      <c r="A127" s="3" t="s">
        <v>256</v>
      </c>
      <c r="B127" s="4" t="s">
        <v>13</v>
      </c>
      <c r="C127" s="14" t="s">
        <v>13</v>
      </c>
      <c r="D127" s="17" t="s">
        <v>616</v>
      </c>
      <c r="E127" s="4" t="s">
        <v>557</v>
      </c>
      <c r="F127" s="1">
        <v>800</v>
      </c>
      <c r="G127" s="13">
        <f t="shared" si="1"/>
        <v>9.6</v>
      </c>
      <c r="H127" s="4"/>
    </row>
    <row r="128" spans="1:8" x14ac:dyDescent="0.35">
      <c r="A128" s="3" t="s">
        <v>257</v>
      </c>
      <c r="B128" s="4" t="s">
        <v>496</v>
      </c>
      <c r="C128" s="14" t="s">
        <v>496</v>
      </c>
      <c r="D128" s="17" t="s">
        <v>616</v>
      </c>
      <c r="E128" s="4" t="s">
        <v>557</v>
      </c>
      <c r="F128" s="1">
        <v>500</v>
      </c>
      <c r="G128" s="13">
        <f t="shared" si="1"/>
        <v>6</v>
      </c>
      <c r="H128" s="4"/>
    </row>
    <row r="129" spans="1:8" x14ac:dyDescent="0.35">
      <c r="A129" s="3" t="s">
        <v>258</v>
      </c>
      <c r="B129" s="4" t="s">
        <v>558</v>
      </c>
      <c r="C129" s="24" t="s">
        <v>71</v>
      </c>
      <c r="D129" s="17" t="s">
        <v>616</v>
      </c>
      <c r="E129" s="4" t="s">
        <v>557</v>
      </c>
      <c r="F129" s="1">
        <v>750</v>
      </c>
      <c r="G129" s="13">
        <f t="shared" si="1"/>
        <v>9</v>
      </c>
      <c r="H129" s="4"/>
    </row>
    <row r="130" spans="1:8" x14ac:dyDescent="0.35">
      <c r="A130" s="3" t="s">
        <v>259</v>
      </c>
      <c r="B130" s="4" t="s">
        <v>559</v>
      </c>
      <c r="C130" s="14" t="s">
        <v>559</v>
      </c>
      <c r="D130" s="17" t="s">
        <v>616</v>
      </c>
      <c r="E130" s="4" t="s">
        <v>557</v>
      </c>
      <c r="F130" s="1">
        <v>1000</v>
      </c>
      <c r="G130" s="13">
        <f t="shared" si="1"/>
        <v>12</v>
      </c>
      <c r="H130" s="4"/>
    </row>
    <row r="131" spans="1:8" x14ac:dyDescent="0.35">
      <c r="A131" s="3" t="s">
        <v>260</v>
      </c>
      <c r="B131" s="4" t="s">
        <v>431</v>
      </c>
      <c r="C131" s="17" t="s">
        <v>39</v>
      </c>
      <c r="D131" s="17" t="s">
        <v>616</v>
      </c>
      <c r="E131" s="4" t="s">
        <v>557</v>
      </c>
      <c r="F131" s="1">
        <v>1035</v>
      </c>
      <c r="G131" s="13">
        <f t="shared" si="1"/>
        <v>12.42</v>
      </c>
      <c r="H131" s="4"/>
    </row>
    <row r="132" spans="1:8" x14ac:dyDescent="0.35">
      <c r="A132" s="3" t="s">
        <v>261</v>
      </c>
      <c r="B132" s="4" t="s">
        <v>106</v>
      </c>
      <c r="C132" s="14" t="s">
        <v>560</v>
      </c>
      <c r="D132" s="17" t="s">
        <v>616</v>
      </c>
      <c r="E132" s="4" t="s">
        <v>561</v>
      </c>
      <c r="F132" s="1">
        <v>960</v>
      </c>
      <c r="G132" s="13">
        <f t="shared" si="1"/>
        <v>11.52</v>
      </c>
      <c r="H132" s="4"/>
    </row>
    <row r="133" spans="1:8" x14ac:dyDescent="0.35">
      <c r="A133" s="3" t="s">
        <v>262</v>
      </c>
      <c r="B133" s="4" t="s">
        <v>38</v>
      </c>
      <c r="C133" s="17" t="s">
        <v>42</v>
      </c>
      <c r="D133" s="17" t="s">
        <v>616</v>
      </c>
      <c r="E133" s="4" t="s">
        <v>561</v>
      </c>
      <c r="F133" s="1">
        <v>990</v>
      </c>
      <c r="G133" s="13">
        <f t="shared" si="1"/>
        <v>11.88</v>
      </c>
      <c r="H133" s="4"/>
    </row>
    <row r="134" spans="1:8" x14ac:dyDescent="0.35">
      <c r="A134" s="3" t="s">
        <v>263</v>
      </c>
      <c r="B134" s="4" t="s">
        <v>92</v>
      </c>
      <c r="C134" s="26" t="s">
        <v>514</v>
      </c>
      <c r="D134" s="17" t="s">
        <v>616</v>
      </c>
      <c r="E134" s="4" t="s">
        <v>561</v>
      </c>
      <c r="F134" s="1">
        <v>990</v>
      </c>
      <c r="G134" s="13">
        <f t="shared" ref="G134:G190" si="2">(6/500)*F134</f>
        <v>11.88</v>
      </c>
      <c r="H134" s="4"/>
    </row>
    <row r="135" spans="1:8" x14ac:dyDescent="0.35">
      <c r="A135" s="3" t="s">
        <v>264</v>
      </c>
      <c r="B135" s="4" t="s">
        <v>70</v>
      </c>
      <c r="C135" s="17" t="s">
        <v>39</v>
      </c>
      <c r="D135" s="17" t="s">
        <v>616</v>
      </c>
      <c r="E135" s="4" t="s">
        <v>561</v>
      </c>
      <c r="F135" s="1">
        <v>1000</v>
      </c>
      <c r="G135" s="13">
        <f t="shared" si="2"/>
        <v>12</v>
      </c>
      <c r="H135" s="4"/>
    </row>
    <row r="136" spans="1:8" x14ac:dyDescent="0.35">
      <c r="A136" s="3" t="s">
        <v>265</v>
      </c>
      <c r="B136" s="4" t="s">
        <v>562</v>
      </c>
      <c r="C136" s="17" t="s">
        <v>563</v>
      </c>
      <c r="D136" s="17" t="s">
        <v>616</v>
      </c>
      <c r="E136" s="4" t="s">
        <v>561</v>
      </c>
      <c r="F136" s="1">
        <v>1640</v>
      </c>
      <c r="G136" s="13">
        <f t="shared" si="2"/>
        <v>19.68</v>
      </c>
      <c r="H136" s="4"/>
    </row>
    <row r="137" spans="1:8" x14ac:dyDescent="0.35">
      <c r="A137" s="3" t="s">
        <v>266</v>
      </c>
      <c r="B137" s="4" t="s">
        <v>564</v>
      </c>
      <c r="C137" s="17" t="s">
        <v>520</v>
      </c>
      <c r="D137" s="17" t="s">
        <v>616</v>
      </c>
      <c r="E137" s="4" t="s">
        <v>561</v>
      </c>
      <c r="F137" s="1">
        <v>490</v>
      </c>
      <c r="G137" s="13">
        <f t="shared" si="2"/>
        <v>5.88</v>
      </c>
      <c r="H137" s="4"/>
    </row>
    <row r="138" spans="1:8" x14ac:dyDescent="0.35">
      <c r="A138" s="3" t="s">
        <v>267</v>
      </c>
      <c r="B138" s="4" t="s">
        <v>565</v>
      </c>
      <c r="C138" s="17" t="s">
        <v>520</v>
      </c>
      <c r="D138" s="17" t="s">
        <v>616</v>
      </c>
      <c r="E138" s="4" t="s">
        <v>561</v>
      </c>
      <c r="F138" s="1">
        <v>1000</v>
      </c>
      <c r="G138" s="13">
        <f t="shared" si="2"/>
        <v>12</v>
      </c>
      <c r="H138" s="4"/>
    </row>
    <row r="139" spans="1:8" x14ac:dyDescent="0.35">
      <c r="A139" s="3" t="s">
        <v>392</v>
      </c>
      <c r="B139" s="4" t="s">
        <v>514</v>
      </c>
      <c r="C139" s="26" t="s">
        <v>514</v>
      </c>
      <c r="D139" s="17" t="s">
        <v>616</v>
      </c>
      <c r="E139" s="4" t="s">
        <v>561</v>
      </c>
      <c r="F139" s="1">
        <v>1140</v>
      </c>
      <c r="G139" s="13">
        <f t="shared" si="2"/>
        <v>13.68</v>
      </c>
      <c r="H139" s="4"/>
    </row>
    <row r="140" spans="1:8" x14ac:dyDescent="0.35">
      <c r="A140" s="3" t="s">
        <v>393</v>
      </c>
      <c r="B140" s="4" t="s">
        <v>15</v>
      </c>
      <c r="C140" s="17" t="s">
        <v>383</v>
      </c>
      <c r="D140" s="17" t="s">
        <v>616</v>
      </c>
      <c r="E140" s="4" t="s">
        <v>561</v>
      </c>
      <c r="F140" s="1">
        <v>820</v>
      </c>
      <c r="G140" s="13">
        <f t="shared" si="2"/>
        <v>9.84</v>
      </c>
      <c r="H140" s="4"/>
    </row>
    <row r="141" spans="1:8" x14ac:dyDescent="0.35">
      <c r="A141" s="3" t="s">
        <v>394</v>
      </c>
      <c r="B141" s="4" t="s">
        <v>508</v>
      </c>
      <c r="C141" s="27" t="s">
        <v>55</v>
      </c>
      <c r="D141" s="17" t="s">
        <v>616</v>
      </c>
      <c r="E141" s="4" t="s">
        <v>561</v>
      </c>
      <c r="F141" s="1">
        <v>890</v>
      </c>
      <c r="G141" s="13">
        <f t="shared" si="2"/>
        <v>10.68</v>
      </c>
      <c r="H141" s="4"/>
    </row>
    <row r="142" spans="1:8" x14ac:dyDescent="0.35">
      <c r="A142" s="3" t="s">
        <v>395</v>
      </c>
      <c r="B142" s="4" t="s">
        <v>566</v>
      </c>
      <c r="C142" s="17" t="s">
        <v>6</v>
      </c>
      <c r="D142" s="17" t="s">
        <v>616</v>
      </c>
      <c r="E142" s="4" t="s">
        <v>561</v>
      </c>
      <c r="F142" s="1">
        <v>1100</v>
      </c>
      <c r="G142" s="13">
        <f t="shared" si="2"/>
        <v>13.200000000000001</v>
      </c>
      <c r="H142" s="4"/>
    </row>
    <row r="143" spans="1:8" x14ac:dyDescent="0.35">
      <c r="A143" s="3" t="s">
        <v>396</v>
      </c>
      <c r="B143" s="4" t="s">
        <v>567</v>
      </c>
      <c r="C143" s="17" t="s">
        <v>2</v>
      </c>
      <c r="D143" s="17" t="s">
        <v>616</v>
      </c>
      <c r="E143" s="4" t="s">
        <v>561</v>
      </c>
      <c r="F143" s="1">
        <v>1580</v>
      </c>
      <c r="G143" s="13">
        <f t="shared" si="2"/>
        <v>18.96</v>
      </c>
      <c r="H143" s="4"/>
    </row>
    <row r="144" spans="1:8" x14ac:dyDescent="0.35">
      <c r="A144" s="3" t="s">
        <v>397</v>
      </c>
      <c r="B144" s="4" t="s">
        <v>0</v>
      </c>
      <c r="C144" s="14" t="s">
        <v>0</v>
      </c>
      <c r="D144" s="17" t="s">
        <v>616</v>
      </c>
      <c r="E144" s="4" t="s">
        <v>1</v>
      </c>
      <c r="F144" s="1">
        <v>705</v>
      </c>
      <c r="G144" s="13">
        <f t="shared" si="2"/>
        <v>8.4600000000000009</v>
      </c>
      <c r="H144" s="4"/>
    </row>
    <row r="145" spans="1:8" x14ac:dyDescent="0.35">
      <c r="A145" s="3" t="s">
        <v>398</v>
      </c>
      <c r="B145" s="4" t="s">
        <v>2</v>
      </c>
      <c r="C145" s="14" t="s">
        <v>2</v>
      </c>
      <c r="D145" s="17" t="s">
        <v>616</v>
      </c>
      <c r="E145" s="4" t="s">
        <v>1</v>
      </c>
      <c r="F145" s="1">
        <v>475</v>
      </c>
      <c r="G145" s="13">
        <f t="shared" si="2"/>
        <v>5.7</v>
      </c>
      <c r="H145" s="4"/>
    </row>
    <row r="146" spans="1:8" x14ac:dyDescent="0.35">
      <c r="A146" s="3" t="s">
        <v>399</v>
      </c>
      <c r="B146" s="4" t="s">
        <v>3</v>
      </c>
      <c r="C146" s="14" t="s">
        <v>3</v>
      </c>
      <c r="D146" s="17" t="s">
        <v>616</v>
      </c>
      <c r="E146" s="4" t="s">
        <v>1</v>
      </c>
      <c r="F146" s="1">
        <v>860</v>
      </c>
      <c r="G146" s="13">
        <f t="shared" si="2"/>
        <v>10.32</v>
      </c>
      <c r="H146" s="4"/>
    </row>
    <row r="147" spans="1:8" x14ac:dyDescent="0.35">
      <c r="A147" s="3" t="s">
        <v>400</v>
      </c>
      <c r="B147" s="4" t="s">
        <v>4</v>
      </c>
      <c r="C147" s="14" t="s">
        <v>4</v>
      </c>
      <c r="D147" s="17" t="s">
        <v>616</v>
      </c>
      <c r="E147" s="4" t="s">
        <v>1</v>
      </c>
      <c r="F147" s="1">
        <v>960</v>
      </c>
      <c r="G147" s="13">
        <f t="shared" si="2"/>
        <v>11.52</v>
      </c>
      <c r="H147" s="4"/>
    </row>
    <row r="148" spans="1:8" x14ac:dyDescent="0.35">
      <c r="A148" s="3" t="s">
        <v>401</v>
      </c>
      <c r="B148" s="4" t="s">
        <v>5</v>
      </c>
      <c r="C148" s="14" t="s">
        <v>5</v>
      </c>
      <c r="D148" s="17" t="s">
        <v>616</v>
      </c>
      <c r="E148" s="4" t="s">
        <v>1</v>
      </c>
      <c r="F148" s="1">
        <v>715</v>
      </c>
      <c r="G148" s="13">
        <f t="shared" si="2"/>
        <v>8.58</v>
      </c>
      <c r="H148" s="4"/>
    </row>
    <row r="149" spans="1:8" x14ac:dyDescent="0.35">
      <c r="A149" s="3" t="s">
        <v>402</v>
      </c>
      <c r="B149" s="4" t="s">
        <v>6</v>
      </c>
      <c r="C149" s="14" t="s">
        <v>6</v>
      </c>
      <c r="D149" s="17" t="s">
        <v>616</v>
      </c>
      <c r="E149" s="4" t="s">
        <v>1</v>
      </c>
      <c r="F149" s="1">
        <v>480</v>
      </c>
      <c r="G149" s="13">
        <f t="shared" si="2"/>
        <v>5.76</v>
      </c>
      <c r="H149" s="4"/>
    </row>
    <row r="150" spans="1:8" x14ac:dyDescent="0.35">
      <c r="A150" s="3" t="s">
        <v>403</v>
      </c>
      <c r="B150" s="4" t="s">
        <v>7</v>
      </c>
      <c r="C150" s="14" t="s">
        <v>7</v>
      </c>
      <c r="D150" s="17" t="s">
        <v>616</v>
      </c>
      <c r="E150" s="4" t="s">
        <v>1</v>
      </c>
      <c r="F150" s="1">
        <v>490</v>
      </c>
      <c r="G150" s="13">
        <f t="shared" si="2"/>
        <v>5.88</v>
      </c>
      <c r="H150" s="4"/>
    </row>
    <row r="151" spans="1:8" x14ac:dyDescent="0.35">
      <c r="A151" s="3" t="s">
        <v>404</v>
      </c>
      <c r="B151" s="4" t="s">
        <v>8</v>
      </c>
      <c r="C151" s="27" t="s">
        <v>391</v>
      </c>
      <c r="D151" s="17" t="s">
        <v>616</v>
      </c>
      <c r="E151" s="4" t="s">
        <v>1</v>
      </c>
      <c r="F151" s="1">
        <v>473</v>
      </c>
      <c r="G151" s="13">
        <f t="shared" si="2"/>
        <v>5.6760000000000002</v>
      </c>
      <c r="H151" s="4"/>
    </row>
    <row r="152" spans="1:8" x14ac:dyDescent="0.35">
      <c r="A152" s="3" t="s">
        <v>405</v>
      </c>
      <c r="B152" s="4" t="s">
        <v>9</v>
      </c>
      <c r="C152" s="14" t="s">
        <v>9</v>
      </c>
      <c r="D152" s="17" t="s">
        <v>616</v>
      </c>
      <c r="E152" s="4" t="s">
        <v>1</v>
      </c>
      <c r="F152" s="1">
        <v>852</v>
      </c>
      <c r="G152" s="13">
        <f t="shared" si="2"/>
        <v>10.224</v>
      </c>
      <c r="H152" s="4"/>
    </row>
    <row r="153" spans="1:8" x14ac:dyDescent="0.35">
      <c r="A153" s="3" t="s">
        <v>406</v>
      </c>
      <c r="B153" s="4" t="s">
        <v>10</v>
      </c>
      <c r="C153" s="17" t="s">
        <v>568</v>
      </c>
      <c r="D153" s="17" t="s">
        <v>616</v>
      </c>
      <c r="E153" s="4" t="s">
        <v>11</v>
      </c>
      <c r="F153" s="1">
        <v>1067</v>
      </c>
      <c r="G153" s="13">
        <f t="shared" si="2"/>
        <v>12.804</v>
      </c>
      <c r="H153" s="4"/>
    </row>
    <row r="154" spans="1:8" x14ac:dyDescent="0.35">
      <c r="A154" s="3" t="s">
        <v>85</v>
      </c>
      <c r="B154" s="4" t="s">
        <v>12</v>
      </c>
      <c r="C154" s="17" t="s">
        <v>109</v>
      </c>
      <c r="D154" s="17" t="s">
        <v>616</v>
      </c>
      <c r="E154" s="4" t="s">
        <v>11</v>
      </c>
      <c r="F154" s="1">
        <v>600</v>
      </c>
      <c r="G154" s="13">
        <f t="shared" si="2"/>
        <v>7.2</v>
      </c>
      <c r="H154" s="4"/>
    </row>
    <row r="155" spans="1:8" x14ac:dyDescent="0.35">
      <c r="A155" s="3" t="s">
        <v>88</v>
      </c>
      <c r="B155" s="4" t="s">
        <v>13</v>
      </c>
      <c r="C155" s="14" t="s">
        <v>13</v>
      </c>
      <c r="D155" s="17" t="s">
        <v>616</v>
      </c>
      <c r="E155" s="4" t="s">
        <v>11</v>
      </c>
      <c r="F155" s="1">
        <v>1000</v>
      </c>
      <c r="G155" s="13">
        <f t="shared" si="2"/>
        <v>12</v>
      </c>
      <c r="H155" s="4"/>
    </row>
    <row r="156" spans="1:8" x14ac:dyDescent="0.35">
      <c r="A156" s="3" t="s">
        <v>89</v>
      </c>
      <c r="B156" s="4" t="s">
        <v>14</v>
      </c>
      <c r="C156" s="14" t="s">
        <v>498</v>
      </c>
      <c r="D156" s="17" t="s">
        <v>616</v>
      </c>
      <c r="E156" s="4" t="s">
        <v>11</v>
      </c>
      <c r="F156" s="1">
        <v>750</v>
      </c>
      <c r="G156" s="13">
        <f t="shared" si="2"/>
        <v>9</v>
      </c>
      <c r="H156" s="4"/>
    </row>
    <row r="157" spans="1:8" x14ac:dyDescent="0.35">
      <c r="A157" s="3" t="s">
        <v>90</v>
      </c>
      <c r="B157" s="4" t="s">
        <v>15</v>
      </c>
      <c r="C157" s="17" t="s">
        <v>383</v>
      </c>
      <c r="D157" s="17" t="s">
        <v>616</v>
      </c>
      <c r="E157" s="4" t="s">
        <v>11</v>
      </c>
      <c r="F157" s="1">
        <v>700</v>
      </c>
      <c r="G157" s="13">
        <f t="shared" si="2"/>
        <v>8.4</v>
      </c>
      <c r="H157" s="4"/>
    </row>
    <row r="158" spans="1:8" x14ac:dyDescent="0.35">
      <c r="A158" s="3" t="s">
        <v>91</v>
      </c>
      <c r="B158" s="4" t="s">
        <v>16</v>
      </c>
      <c r="C158" s="26" t="s">
        <v>16</v>
      </c>
      <c r="D158" s="17" t="s">
        <v>616</v>
      </c>
      <c r="E158" s="4" t="s">
        <v>11</v>
      </c>
      <c r="F158" s="1">
        <v>700</v>
      </c>
      <c r="G158" s="13">
        <f t="shared" si="2"/>
        <v>8.4</v>
      </c>
      <c r="H158" s="4"/>
    </row>
    <row r="159" spans="1:8" x14ac:dyDescent="0.35">
      <c r="A159" s="3" t="s">
        <v>93</v>
      </c>
      <c r="B159" s="4" t="s">
        <v>17</v>
      </c>
      <c r="C159" s="26" t="s">
        <v>16</v>
      </c>
      <c r="D159" s="17" t="s">
        <v>616</v>
      </c>
      <c r="E159" s="4" t="s">
        <v>11</v>
      </c>
      <c r="F159" s="1">
        <v>600</v>
      </c>
      <c r="G159" s="13">
        <f t="shared" si="2"/>
        <v>7.2</v>
      </c>
      <c r="H159" s="4"/>
    </row>
    <row r="160" spans="1:8" x14ac:dyDescent="0.35">
      <c r="A160" s="3" t="s">
        <v>94</v>
      </c>
      <c r="B160" s="4" t="s">
        <v>18</v>
      </c>
      <c r="C160" s="17" t="s">
        <v>67</v>
      </c>
      <c r="D160" s="17" t="s">
        <v>616</v>
      </c>
      <c r="E160" s="4" t="s">
        <v>11</v>
      </c>
      <c r="F160" s="1">
        <v>700</v>
      </c>
      <c r="G160" s="13">
        <f t="shared" si="2"/>
        <v>8.4</v>
      </c>
      <c r="H160" s="4"/>
    </row>
    <row r="161" spans="1:8" x14ac:dyDescent="0.35">
      <c r="A161" s="3" t="s">
        <v>95</v>
      </c>
      <c r="B161" s="4" t="s">
        <v>19</v>
      </c>
      <c r="C161" s="27" t="s">
        <v>391</v>
      </c>
      <c r="D161" s="17" t="s">
        <v>616</v>
      </c>
      <c r="E161" s="4" t="s">
        <v>11</v>
      </c>
      <c r="F161" s="1">
        <v>500</v>
      </c>
      <c r="G161" s="13">
        <f t="shared" si="2"/>
        <v>6</v>
      </c>
      <c r="H161" s="4"/>
    </row>
    <row r="162" spans="1:8" x14ac:dyDescent="0.35">
      <c r="A162" s="3" t="s">
        <v>96</v>
      </c>
      <c r="B162" s="4" t="s">
        <v>20</v>
      </c>
      <c r="C162" s="25" t="s">
        <v>20</v>
      </c>
      <c r="D162" s="17" t="s">
        <v>616</v>
      </c>
      <c r="E162" s="4" t="s">
        <v>11</v>
      </c>
      <c r="F162" s="1">
        <v>660</v>
      </c>
      <c r="G162" s="13">
        <f t="shared" si="2"/>
        <v>7.92</v>
      </c>
      <c r="H162" s="4"/>
    </row>
    <row r="163" spans="1:8" x14ac:dyDescent="0.35">
      <c r="A163" s="3" t="s">
        <v>97</v>
      </c>
      <c r="B163" s="4" t="s">
        <v>21</v>
      </c>
      <c r="C163" s="25" t="s">
        <v>20</v>
      </c>
      <c r="D163" s="17" t="s">
        <v>616</v>
      </c>
      <c r="E163" s="4" t="s">
        <v>11</v>
      </c>
      <c r="F163" s="1">
        <v>600</v>
      </c>
      <c r="G163" s="13">
        <f t="shared" si="2"/>
        <v>7.2</v>
      </c>
      <c r="H163" s="4"/>
    </row>
    <row r="164" spans="1:8" x14ac:dyDescent="0.35">
      <c r="A164" s="3" t="s">
        <v>98</v>
      </c>
      <c r="B164" s="4" t="s">
        <v>4</v>
      </c>
      <c r="C164" s="14" t="s">
        <v>4</v>
      </c>
      <c r="D164" s="17" t="s">
        <v>616</v>
      </c>
      <c r="E164" s="4" t="s">
        <v>11</v>
      </c>
      <c r="F164" s="1">
        <v>360</v>
      </c>
      <c r="G164" s="13">
        <f t="shared" si="2"/>
        <v>4.32</v>
      </c>
      <c r="H164" s="4"/>
    </row>
    <row r="165" spans="1:8" x14ac:dyDescent="0.35">
      <c r="A165" s="3" t="s">
        <v>100</v>
      </c>
      <c r="B165" s="4" t="s">
        <v>22</v>
      </c>
      <c r="C165" s="17" t="s">
        <v>569</v>
      </c>
      <c r="D165" s="17" t="s">
        <v>616</v>
      </c>
      <c r="E165" s="4" t="s">
        <v>11</v>
      </c>
      <c r="F165" s="1">
        <v>550</v>
      </c>
      <c r="G165" s="13">
        <f t="shared" si="2"/>
        <v>6.6000000000000005</v>
      </c>
      <c r="H165" s="4"/>
    </row>
    <row r="166" spans="1:8" x14ac:dyDescent="0.35">
      <c r="A166" s="3" t="s">
        <v>102</v>
      </c>
      <c r="B166" s="4" t="s">
        <v>23</v>
      </c>
      <c r="C166" s="17" t="s">
        <v>520</v>
      </c>
      <c r="D166" s="17" t="s">
        <v>616</v>
      </c>
      <c r="E166" s="4" t="s">
        <v>11</v>
      </c>
      <c r="F166" s="1">
        <v>372</v>
      </c>
      <c r="G166" s="13">
        <f t="shared" si="2"/>
        <v>4.4640000000000004</v>
      </c>
      <c r="H166" s="4"/>
    </row>
    <row r="167" spans="1:8" x14ac:dyDescent="0.35">
      <c r="A167" s="3" t="s">
        <v>103</v>
      </c>
      <c r="B167" s="4" t="s">
        <v>24</v>
      </c>
      <c r="C167" s="14" t="s">
        <v>24</v>
      </c>
      <c r="D167" s="17" t="s">
        <v>616</v>
      </c>
      <c r="E167" s="4" t="s">
        <v>11</v>
      </c>
      <c r="F167" s="1">
        <v>500</v>
      </c>
      <c r="G167" s="13">
        <f t="shared" si="2"/>
        <v>6</v>
      </c>
      <c r="H167" s="4"/>
    </row>
    <row r="168" spans="1:8" x14ac:dyDescent="0.35">
      <c r="A168" s="3" t="s">
        <v>105</v>
      </c>
      <c r="B168" s="4" t="s">
        <v>25</v>
      </c>
      <c r="C168" s="17" t="s">
        <v>556</v>
      </c>
      <c r="D168" s="17" t="s">
        <v>616</v>
      </c>
      <c r="E168" s="4" t="s">
        <v>11</v>
      </c>
      <c r="F168" s="1">
        <v>500</v>
      </c>
      <c r="G168" s="13">
        <f t="shared" si="2"/>
        <v>6</v>
      </c>
      <c r="H168" s="4"/>
    </row>
    <row r="169" spans="1:8" x14ac:dyDescent="0.35">
      <c r="A169" s="3" t="s">
        <v>107</v>
      </c>
      <c r="B169" s="4" t="s">
        <v>26</v>
      </c>
      <c r="C169" s="17" t="s">
        <v>5</v>
      </c>
      <c r="D169" s="17" t="s">
        <v>616</v>
      </c>
      <c r="E169" s="4" t="s">
        <v>11</v>
      </c>
      <c r="F169" s="1">
        <v>583</v>
      </c>
      <c r="G169" s="13">
        <f t="shared" si="2"/>
        <v>6.9960000000000004</v>
      </c>
      <c r="H169" s="4"/>
    </row>
    <row r="170" spans="1:8" x14ac:dyDescent="0.35">
      <c r="A170" s="3" t="s">
        <v>108</v>
      </c>
      <c r="B170" s="4" t="s">
        <v>27</v>
      </c>
      <c r="C170" s="4" t="s">
        <v>27</v>
      </c>
      <c r="D170" s="17" t="s">
        <v>616</v>
      </c>
      <c r="E170" s="4" t="s">
        <v>11</v>
      </c>
      <c r="F170" s="1">
        <v>500</v>
      </c>
      <c r="G170" s="13">
        <f t="shared" si="2"/>
        <v>6</v>
      </c>
      <c r="H170" s="4"/>
    </row>
    <row r="171" spans="1:8" x14ac:dyDescent="0.35">
      <c r="A171" s="3" t="s">
        <v>111</v>
      </c>
      <c r="B171" s="4" t="s">
        <v>28</v>
      </c>
      <c r="C171" s="14" t="s">
        <v>28</v>
      </c>
      <c r="D171" s="17" t="s">
        <v>616</v>
      </c>
      <c r="E171" s="4" t="s">
        <v>11</v>
      </c>
      <c r="F171" s="1">
        <v>660</v>
      </c>
      <c r="G171" s="13">
        <f t="shared" si="2"/>
        <v>7.92</v>
      </c>
      <c r="H171" s="4"/>
    </row>
    <row r="172" spans="1:8" x14ac:dyDescent="0.35">
      <c r="A172" s="3" t="s">
        <v>113</v>
      </c>
      <c r="B172" s="4" t="s">
        <v>29</v>
      </c>
      <c r="C172" s="26" t="s">
        <v>29</v>
      </c>
      <c r="D172" s="17" t="s">
        <v>616</v>
      </c>
      <c r="E172" s="4" t="s">
        <v>30</v>
      </c>
      <c r="F172" s="1">
        <v>500</v>
      </c>
      <c r="G172" s="13">
        <f t="shared" si="2"/>
        <v>6</v>
      </c>
      <c r="H172" s="4"/>
    </row>
    <row r="173" spans="1:8" x14ac:dyDescent="0.35">
      <c r="A173" s="3" t="s">
        <v>114</v>
      </c>
      <c r="B173" s="4" t="s">
        <v>570</v>
      </c>
      <c r="C173" s="17" t="s">
        <v>56</v>
      </c>
      <c r="D173" s="17" t="s">
        <v>616</v>
      </c>
      <c r="E173" s="4" t="s">
        <v>30</v>
      </c>
      <c r="F173" s="1">
        <v>800</v>
      </c>
      <c r="G173" s="13">
        <f t="shared" si="2"/>
        <v>9.6</v>
      </c>
      <c r="H173" s="4"/>
    </row>
    <row r="174" spans="1:8" x14ac:dyDescent="0.35">
      <c r="A174" s="3" t="s">
        <v>116</v>
      </c>
      <c r="B174" s="4" t="s">
        <v>31</v>
      </c>
      <c r="C174" s="17" t="s">
        <v>571</v>
      </c>
      <c r="D174" s="17" t="s">
        <v>616</v>
      </c>
      <c r="E174" s="4" t="s">
        <v>30</v>
      </c>
      <c r="F174" s="1">
        <v>934</v>
      </c>
      <c r="G174" s="13">
        <f t="shared" si="2"/>
        <v>11.208</v>
      </c>
      <c r="H174" s="4"/>
    </row>
    <row r="175" spans="1:8" x14ac:dyDescent="0.35">
      <c r="A175" s="3" t="s">
        <v>117</v>
      </c>
      <c r="B175" s="4" t="s">
        <v>32</v>
      </c>
      <c r="C175" s="14" t="s">
        <v>32</v>
      </c>
      <c r="D175" s="17" t="s">
        <v>616</v>
      </c>
      <c r="E175" s="4" t="s">
        <v>30</v>
      </c>
      <c r="F175" s="1">
        <v>500</v>
      </c>
      <c r="G175" s="13">
        <f t="shared" si="2"/>
        <v>6</v>
      </c>
      <c r="H175" s="4"/>
    </row>
    <row r="176" spans="1:8" x14ac:dyDescent="0.35">
      <c r="A176" s="3" t="s">
        <v>119</v>
      </c>
      <c r="B176" s="4" t="s">
        <v>33</v>
      </c>
      <c r="C176" s="14" t="s">
        <v>33</v>
      </c>
      <c r="D176" s="17" t="s">
        <v>616</v>
      </c>
      <c r="E176" s="4" t="s">
        <v>30</v>
      </c>
      <c r="F176" s="1">
        <v>815</v>
      </c>
      <c r="G176" s="13">
        <f t="shared" si="2"/>
        <v>9.7799999999999994</v>
      </c>
      <c r="H176" s="4"/>
    </row>
    <row r="177" spans="1:8" x14ac:dyDescent="0.35">
      <c r="A177" s="3" t="s">
        <v>120</v>
      </c>
      <c r="B177" s="4" t="s">
        <v>34</v>
      </c>
      <c r="C177" s="14" t="s">
        <v>34</v>
      </c>
      <c r="D177" s="17" t="s">
        <v>616</v>
      </c>
      <c r="E177" s="4" t="s">
        <v>30</v>
      </c>
      <c r="F177" s="1">
        <v>750</v>
      </c>
      <c r="G177" s="13">
        <f t="shared" si="2"/>
        <v>9</v>
      </c>
      <c r="H177" s="4"/>
    </row>
    <row r="178" spans="1:8" x14ac:dyDescent="0.35">
      <c r="A178" s="3" t="s">
        <v>121</v>
      </c>
      <c r="B178" s="4" t="s">
        <v>35</v>
      </c>
      <c r="C178" s="17" t="s">
        <v>512</v>
      </c>
      <c r="D178" s="17" t="s">
        <v>616</v>
      </c>
      <c r="E178" s="4" t="s">
        <v>30</v>
      </c>
      <c r="F178" s="1">
        <v>1000</v>
      </c>
      <c r="G178" s="13">
        <f t="shared" si="2"/>
        <v>12</v>
      </c>
      <c r="H178" s="4"/>
    </row>
    <row r="179" spans="1:8" x14ac:dyDescent="0.35">
      <c r="A179" s="3" t="s">
        <v>122</v>
      </c>
      <c r="B179" s="4" t="s">
        <v>36</v>
      </c>
      <c r="C179" s="14" t="s">
        <v>36</v>
      </c>
      <c r="D179" s="17" t="s">
        <v>616</v>
      </c>
      <c r="E179" s="4" t="s">
        <v>30</v>
      </c>
      <c r="F179" s="1">
        <v>900</v>
      </c>
      <c r="G179" s="13">
        <f t="shared" si="2"/>
        <v>10.8</v>
      </c>
      <c r="H179" s="4"/>
    </row>
    <row r="180" spans="1:8" x14ac:dyDescent="0.35">
      <c r="A180" s="3" t="s">
        <v>124</v>
      </c>
      <c r="B180" s="4" t="s">
        <v>37</v>
      </c>
      <c r="C180" s="17" t="s">
        <v>572</v>
      </c>
      <c r="D180" s="17" t="s">
        <v>616</v>
      </c>
      <c r="E180" s="4" t="s">
        <v>30</v>
      </c>
      <c r="F180" s="1">
        <v>800</v>
      </c>
      <c r="G180" s="13">
        <f t="shared" si="2"/>
        <v>9.6</v>
      </c>
      <c r="H180" s="4"/>
    </row>
    <row r="181" spans="1:8" x14ac:dyDescent="0.35">
      <c r="A181" s="3" t="s">
        <v>126</v>
      </c>
      <c r="B181" s="4" t="s">
        <v>38</v>
      </c>
      <c r="C181" s="17" t="s">
        <v>42</v>
      </c>
      <c r="D181" s="17" t="s">
        <v>616</v>
      </c>
      <c r="E181" s="4" t="s">
        <v>30</v>
      </c>
      <c r="F181" s="1">
        <v>500</v>
      </c>
      <c r="G181" s="13">
        <f t="shared" si="2"/>
        <v>6</v>
      </c>
      <c r="H181" s="4"/>
    </row>
    <row r="182" spans="1:8" x14ac:dyDescent="0.35">
      <c r="A182" s="3" t="s">
        <v>128</v>
      </c>
      <c r="B182" s="4" t="s">
        <v>39</v>
      </c>
      <c r="C182" s="17" t="s">
        <v>39</v>
      </c>
      <c r="D182" s="17" t="s">
        <v>616</v>
      </c>
      <c r="E182" s="4" t="s">
        <v>30</v>
      </c>
      <c r="F182" s="1">
        <v>500</v>
      </c>
      <c r="G182" s="13">
        <f t="shared" si="2"/>
        <v>6</v>
      </c>
      <c r="H182" s="4"/>
    </row>
    <row r="183" spans="1:8" x14ac:dyDescent="0.35">
      <c r="A183" s="3" t="s">
        <v>130</v>
      </c>
      <c r="B183" s="4" t="s">
        <v>40</v>
      </c>
      <c r="C183" s="14" t="s">
        <v>40</v>
      </c>
      <c r="D183" s="17" t="s">
        <v>616</v>
      </c>
      <c r="E183" s="4" t="s">
        <v>30</v>
      </c>
      <c r="F183" s="1">
        <v>800</v>
      </c>
      <c r="G183" s="13">
        <f t="shared" si="2"/>
        <v>9.6</v>
      </c>
      <c r="H183" s="4"/>
    </row>
    <row r="184" spans="1:8" x14ac:dyDescent="0.35">
      <c r="A184" s="3" t="s">
        <v>132</v>
      </c>
      <c r="B184" s="4" t="s">
        <v>41</v>
      </c>
      <c r="C184" s="14" t="s">
        <v>41</v>
      </c>
      <c r="D184" s="17" t="s">
        <v>616</v>
      </c>
      <c r="E184" s="4" t="s">
        <v>30</v>
      </c>
      <c r="F184" s="1">
        <v>800</v>
      </c>
      <c r="G184" s="13">
        <f t="shared" si="2"/>
        <v>9.6</v>
      </c>
      <c r="H184" s="4"/>
    </row>
    <row r="185" spans="1:8" x14ac:dyDescent="0.35">
      <c r="A185" s="3" t="s">
        <v>407</v>
      </c>
      <c r="B185" s="4" t="s">
        <v>42</v>
      </c>
      <c r="C185" s="14" t="s">
        <v>42</v>
      </c>
      <c r="D185" s="17" t="s">
        <v>616</v>
      </c>
      <c r="E185" s="4" t="s">
        <v>30</v>
      </c>
      <c r="F185" s="1">
        <v>500</v>
      </c>
      <c r="G185" s="13">
        <f t="shared" si="2"/>
        <v>6</v>
      </c>
      <c r="H185" s="4"/>
    </row>
    <row r="186" spans="1:8" x14ac:dyDescent="0.35">
      <c r="A186" s="3" t="s">
        <v>408</v>
      </c>
      <c r="B186" s="4" t="s">
        <v>43</v>
      </c>
      <c r="C186" s="14" t="s">
        <v>613</v>
      </c>
      <c r="D186" s="17" t="s">
        <v>616</v>
      </c>
      <c r="E186" s="4" t="s">
        <v>30</v>
      </c>
      <c r="F186" s="1">
        <v>510</v>
      </c>
      <c r="G186" s="13">
        <f t="shared" si="2"/>
        <v>6.12</v>
      </c>
      <c r="H186" s="4"/>
    </row>
    <row r="187" spans="1:8" x14ac:dyDescent="0.35">
      <c r="A187" s="3" t="s">
        <v>409</v>
      </c>
      <c r="B187" s="4" t="s">
        <v>44</v>
      </c>
      <c r="C187" s="14" t="s">
        <v>613</v>
      </c>
      <c r="D187" s="17" t="s">
        <v>616</v>
      </c>
      <c r="E187" s="4" t="s">
        <v>30</v>
      </c>
      <c r="F187" s="1">
        <v>510</v>
      </c>
      <c r="G187" s="13">
        <f t="shared" si="2"/>
        <v>6.12</v>
      </c>
      <c r="H187" s="4"/>
    </row>
    <row r="188" spans="1:8" x14ac:dyDescent="0.35">
      <c r="A188" s="3" t="s">
        <v>410</v>
      </c>
      <c r="B188" s="4" t="s">
        <v>15</v>
      </c>
      <c r="C188" s="17" t="s">
        <v>383</v>
      </c>
      <c r="D188" s="17" t="s">
        <v>616</v>
      </c>
      <c r="E188" s="4" t="s">
        <v>30</v>
      </c>
      <c r="F188" s="1">
        <v>1100</v>
      </c>
      <c r="G188" s="13">
        <f t="shared" si="2"/>
        <v>13.200000000000001</v>
      </c>
      <c r="H188" s="4"/>
    </row>
    <row r="189" spans="1:8" x14ac:dyDescent="0.35">
      <c r="A189" s="3" t="s">
        <v>411</v>
      </c>
      <c r="B189" s="4" t="s">
        <v>45</v>
      </c>
      <c r="C189" s="25" t="s">
        <v>526</v>
      </c>
      <c r="D189" s="17" t="s">
        <v>616</v>
      </c>
      <c r="E189" s="4" t="s">
        <v>30</v>
      </c>
      <c r="F189" s="1">
        <v>750</v>
      </c>
      <c r="G189" s="13">
        <f t="shared" si="2"/>
        <v>9</v>
      </c>
      <c r="H189" s="4"/>
    </row>
    <row r="190" spans="1:8" x14ac:dyDescent="0.35">
      <c r="A190" s="3" t="s">
        <v>468</v>
      </c>
      <c r="B190" s="4" t="s">
        <v>46</v>
      </c>
      <c r="C190" s="5"/>
      <c r="D190" s="17" t="s">
        <v>616</v>
      </c>
      <c r="E190" s="4" t="s">
        <v>30</v>
      </c>
      <c r="F190" s="1">
        <v>746</v>
      </c>
      <c r="G190" s="13">
        <f t="shared" si="2"/>
        <v>8.952</v>
      </c>
      <c r="H190" s="4"/>
    </row>
    <row r="191" spans="1:8" x14ac:dyDescent="0.35">
      <c r="A191" s="4"/>
      <c r="B191" s="34" t="s">
        <v>268</v>
      </c>
      <c r="C191" s="35"/>
      <c r="D191" s="32"/>
      <c r="E191" s="4"/>
      <c r="F191" s="7">
        <f>SUM(F5:F190)</f>
        <v>140410</v>
      </c>
      <c r="G191" s="7">
        <f>SUM(G5:G190)</f>
        <v>1684.9200000000008</v>
      </c>
      <c r="H191" s="4"/>
    </row>
    <row r="193" spans="2:8" x14ac:dyDescent="0.35">
      <c r="B193" s="33" t="s">
        <v>438</v>
      </c>
      <c r="C193" s="33"/>
      <c r="D193" s="31"/>
      <c r="F193" s="33" t="s">
        <v>439</v>
      </c>
      <c r="G193" s="33"/>
      <c r="H193" s="33"/>
    </row>
  </sheetData>
  <autoFilter ref="A4:H191" xr:uid="{4C8C5C0C-5B31-40EE-916B-63D340042737}"/>
  <mergeCells count="4">
    <mergeCell ref="A1:H1"/>
    <mergeCell ref="B191:C191"/>
    <mergeCell ref="B193:C193"/>
    <mergeCell ref="F193:H193"/>
  </mergeCells>
  <phoneticPr fontId="2" type="noConversion"/>
  <pageMargins left="0.7" right="0.7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25B4-0F83-41FC-A006-2D4738DFC887}">
  <dimension ref="A1:H142"/>
  <sheetViews>
    <sheetView topLeftCell="A122" zoomScaleNormal="100" workbookViewId="0">
      <selection activeCell="D5" sqref="D5:D139"/>
    </sheetView>
  </sheetViews>
  <sheetFormatPr defaultColWidth="9.1796875" defaultRowHeight="16.5" x14ac:dyDescent="0.35"/>
  <cols>
    <col min="1" max="1" width="5.453125" style="6" bestFit="1" customWidth="1"/>
    <col min="2" max="2" width="23.453125" style="6" bestFit="1" customWidth="1"/>
    <col min="3" max="4" width="23.54296875" style="20" customWidth="1"/>
    <col min="5" max="5" width="12" style="6" bestFit="1" customWidth="1"/>
    <col min="6" max="6" width="12.54296875" style="8" customWidth="1"/>
    <col min="7" max="7" width="8.90625" style="6" bestFit="1" customWidth="1"/>
    <col min="8" max="8" width="15.81640625" style="6" customWidth="1"/>
    <col min="9" max="16384" width="9.1796875" style="6"/>
  </cols>
  <sheetData>
    <row r="1" spans="1:8" x14ac:dyDescent="0.35">
      <c r="A1" s="33" t="s">
        <v>612</v>
      </c>
      <c r="B1" s="33"/>
      <c r="C1" s="33"/>
      <c r="D1" s="33"/>
      <c r="E1" s="33"/>
      <c r="F1" s="33"/>
      <c r="G1" s="33"/>
      <c r="H1" s="33"/>
    </row>
    <row r="3" spans="1:8" ht="33" x14ac:dyDescent="0.35">
      <c r="A3" s="9" t="s">
        <v>64</v>
      </c>
      <c r="B3" s="9" t="s">
        <v>433</v>
      </c>
      <c r="C3" s="16" t="s">
        <v>434</v>
      </c>
      <c r="D3" s="16" t="s">
        <v>615</v>
      </c>
      <c r="E3" s="9" t="s">
        <v>435</v>
      </c>
      <c r="F3" s="10" t="s">
        <v>447</v>
      </c>
      <c r="G3" s="11" t="s">
        <v>469</v>
      </c>
      <c r="H3" s="9" t="s">
        <v>489</v>
      </c>
    </row>
    <row r="4" spans="1:8" x14ac:dyDescent="0.35">
      <c r="A4" s="9">
        <v>1</v>
      </c>
      <c r="B4" s="9">
        <v>2</v>
      </c>
      <c r="C4" s="16">
        <v>3</v>
      </c>
      <c r="D4" s="16"/>
      <c r="E4" s="9">
        <v>4</v>
      </c>
      <c r="F4" s="9">
        <v>5</v>
      </c>
      <c r="G4" s="9">
        <v>6</v>
      </c>
      <c r="H4" s="9">
        <v>9</v>
      </c>
    </row>
    <row r="5" spans="1:8" x14ac:dyDescent="0.35">
      <c r="A5" s="3" t="s">
        <v>135</v>
      </c>
      <c r="B5" s="4" t="s">
        <v>269</v>
      </c>
      <c r="C5" s="17" t="s">
        <v>534</v>
      </c>
      <c r="D5" s="17" t="s">
        <v>617</v>
      </c>
      <c r="E5" s="4" t="s">
        <v>270</v>
      </c>
      <c r="F5" s="1">
        <v>615</v>
      </c>
      <c r="G5" s="13">
        <f>(6/500)*F5</f>
        <v>7.38</v>
      </c>
      <c r="H5" s="4"/>
    </row>
    <row r="6" spans="1:8" x14ac:dyDescent="0.35">
      <c r="A6" s="3" t="s">
        <v>136</v>
      </c>
      <c r="B6" s="4" t="s">
        <v>271</v>
      </c>
      <c r="C6" s="14" t="s">
        <v>271</v>
      </c>
      <c r="D6" s="17" t="s">
        <v>617</v>
      </c>
      <c r="E6" s="4" t="s">
        <v>270</v>
      </c>
      <c r="F6" s="1">
        <v>1025</v>
      </c>
      <c r="G6" s="13">
        <f t="shared" ref="G6:G69" si="0">(6/500)*F6</f>
        <v>12.3</v>
      </c>
      <c r="H6" s="4"/>
    </row>
    <row r="7" spans="1:8" x14ac:dyDescent="0.35">
      <c r="A7" s="3" t="s">
        <v>137</v>
      </c>
      <c r="B7" s="4" t="s">
        <v>272</v>
      </c>
      <c r="C7" s="17" t="s">
        <v>272</v>
      </c>
      <c r="D7" s="17" t="s">
        <v>617</v>
      </c>
      <c r="E7" s="4" t="s">
        <v>270</v>
      </c>
      <c r="F7" s="1">
        <v>1025</v>
      </c>
      <c r="G7" s="13">
        <f t="shared" si="0"/>
        <v>12.3</v>
      </c>
      <c r="H7" s="4"/>
    </row>
    <row r="8" spans="1:8" x14ac:dyDescent="0.35">
      <c r="A8" s="3" t="s">
        <v>138</v>
      </c>
      <c r="B8" s="4" t="s">
        <v>273</v>
      </c>
      <c r="C8" s="24" t="s">
        <v>580</v>
      </c>
      <c r="D8" s="17" t="s">
        <v>617</v>
      </c>
      <c r="E8" s="4" t="s">
        <v>270</v>
      </c>
      <c r="F8" s="1">
        <v>512</v>
      </c>
      <c r="G8" s="13">
        <f t="shared" si="0"/>
        <v>6.1440000000000001</v>
      </c>
      <c r="H8" s="4">
        <v>20</v>
      </c>
    </row>
    <row r="9" spans="1:8" x14ac:dyDescent="0.35">
      <c r="A9" s="3" t="s">
        <v>139</v>
      </c>
      <c r="B9" s="4" t="s">
        <v>274</v>
      </c>
      <c r="C9" s="24" t="s">
        <v>581</v>
      </c>
      <c r="D9" s="17" t="s">
        <v>617</v>
      </c>
      <c r="E9" s="4" t="s">
        <v>270</v>
      </c>
      <c r="F9" s="1">
        <v>1025</v>
      </c>
      <c r="G9" s="13">
        <f t="shared" si="0"/>
        <v>12.3</v>
      </c>
      <c r="H9" s="4">
        <v>30</v>
      </c>
    </row>
    <row r="10" spans="1:8" x14ac:dyDescent="0.35">
      <c r="A10" s="3" t="s">
        <v>140</v>
      </c>
      <c r="B10" s="4" t="s">
        <v>275</v>
      </c>
      <c r="C10" s="17" t="s">
        <v>275</v>
      </c>
      <c r="D10" s="17" t="s">
        <v>617</v>
      </c>
      <c r="E10" s="4" t="s">
        <v>270</v>
      </c>
      <c r="F10" s="1">
        <v>512</v>
      </c>
      <c r="G10" s="13">
        <f t="shared" si="0"/>
        <v>6.1440000000000001</v>
      </c>
      <c r="H10" s="4"/>
    </row>
    <row r="11" spans="1:8" x14ac:dyDescent="0.35">
      <c r="A11" s="3" t="s">
        <v>141</v>
      </c>
      <c r="B11" s="4" t="s">
        <v>276</v>
      </c>
      <c r="C11" s="17" t="s">
        <v>461</v>
      </c>
      <c r="D11" s="17" t="s">
        <v>617</v>
      </c>
      <c r="E11" s="4" t="s">
        <v>270</v>
      </c>
      <c r="F11" s="1">
        <v>1025</v>
      </c>
      <c r="G11" s="13">
        <f t="shared" si="0"/>
        <v>12.3</v>
      </c>
      <c r="H11" s="4"/>
    </row>
    <row r="12" spans="1:8" x14ac:dyDescent="0.35">
      <c r="A12" s="3" t="s">
        <v>142</v>
      </c>
      <c r="B12" s="4" t="s">
        <v>277</v>
      </c>
      <c r="C12" s="14" t="s">
        <v>277</v>
      </c>
      <c r="D12" s="17" t="s">
        <v>617</v>
      </c>
      <c r="E12" s="4" t="s">
        <v>270</v>
      </c>
      <c r="F12" s="1">
        <v>512</v>
      </c>
      <c r="G12" s="13">
        <f t="shared" si="0"/>
        <v>6.1440000000000001</v>
      </c>
      <c r="H12" s="4"/>
    </row>
    <row r="13" spans="1:8" x14ac:dyDescent="0.35">
      <c r="A13" s="3" t="s">
        <v>143</v>
      </c>
      <c r="B13" s="4" t="s">
        <v>278</v>
      </c>
      <c r="C13" s="17" t="s">
        <v>534</v>
      </c>
      <c r="D13" s="17" t="s">
        <v>617</v>
      </c>
      <c r="E13" s="4" t="s">
        <v>270</v>
      </c>
      <c r="F13" s="1">
        <v>513</v>
      </c>
      <c r="G13" s="13">
        <f t="shared" si="0"/>
        <v>6.1559999999999997</v>
      </c>
      <c r="H13" s="4"/>
    </row>
    <row r="14" spans="1:8" x14ac:dyDescent="0.35">
      <c r="A14" s="3" t="s">
        <v>134</v>
      </c>
      <c r="B14" s="4" t="s">
        <v>279</v>
      </c>
      <c r="C14" s="14" t="s">
        <v>279</v>
      </c>
      <c r="D14" s="17" t="s">
        <v>617</v>
      </c>
      <c r="E14" s="4" t="s">
        <v>270</v>
      </c>
      <c r="F14" s="1">
        <v>1025</v>
      </c>
      <c r="G14" s="13">
        <f t="shared" si="0"/>
        <v>12.3</v>
      </c>
      <c r="H14" s="4"/>
    </row>
    <row r="15" spans="1:8" x14ac:dyDescent="0.35">
      <c r="A15" s="3" t="s">
        <v>144</v>
      </c>
      <c r="B15" s="4" t="s">
        <v>440</v>
      </c>
      <c r="C15" s="17" t="s">
        <v>294</v>
      </c>
      <c r="D15" s="17" t="s">
        <v>617</v>
      </c>
      <c r="E15" s="4" t="s">
        <v>280</v>
      </c>
      <c r="F15" s="1">
        <v>495</v>
      </c>
      <c r="G15" s="13">
        <f t="shared" si="0"/>
        <v>5.94</v>
      </c>
      <c r="H15" s="4"/>
    </row>
    <row r="16" spans="1:8" x14ac:dyDescent="0.35">
      <c r="A16" s="3" t="s">
        <v>145</v>
      </c>
      <c r="B16" s="4" t="s">
        <v>281</v>
      </c>
      <c r="C16" s="14" t="s">
        <v>281</v>
      </c>
      <c r="D16" s="17" t="s">
        <v>617</v>
      </c>
      <c r="E16" s="4" t="s">
        <v>280</v>
      </c>
      <c r="F16" s="1">
        <v>496</v>
      </c>
      <c r="G16" s="13">
        <f t="shared" si="0"/>
        <v>5.952</v>
      </c>
      <c r="H16" s="4"/>
    </row>
    <row r="17" spans="1:8" x14ac:dyDescent="0.35">
      <c r="A17" s="3" t="s">
        <v>146</v>
      </c>
      <c r="B17" s="4" t="s">
        <v>282</v>
      </c>
      <c r="C17" s="14" t="s">
        <v>282</v>
      </c>
      <c r="D17" s="17" t="s">
        <v>617</v>
      </c>
      <c r="E17" s="4" t="s">
        <v>280</v>
      </c>
      <c r="F17" s="1">
        <v>990</v>
      </c>
      <c r="G17" s="13">
        <f t="shared" si="0"/>
        <v>11.88</v>
      </c>
      <c r="H17" s="4"/>
    </row>
    <row r="18" spans="1:8" x14ac:dyDescent="0.35">
      <c r="A18" s="3" t="s">
        <v>147</v>
      </c>
      <c r="B18" s="4" t="s">
        <v>283</v>
      </c>
      <c r="C18" s="14" t="s">
        <v>283</v>
      </c>
      <c r="D18" s="17" t="s">
        <v>617</v>
      </c>
      <c r="E18" s="4" t="s">
        <v>280</v>
      </c>
      <c r="F18" s="1">
        <v>496</v>
      </c>
      <c r="G18" s="13">
        <f t="shared" si="0"/>
        <v>5.952</v>
      </c>
      <c r="H18" s="4"/>
    </row>
    <row r="19" spans="1:8" x14ac:dyDescent="0.35">
      <c r="A19" s="3" t="s">
        <v>148</v>
      </c>
      <c r="B19" s="4" t="s">
        <v>285</v>
      </c>
      <c r="C19" s="17" t="s">
        <v>583</v>
      </c>
      <c r="D19" s="17" t="s">
        <v>617</v>
      </c>
      <c r="E19" s="4" t="s">
        <v>280</v>
      </c>
      <c r="F19" s="1">
        <v>496</v>
      </c>
      <c r="G19" s="13">
        <f t="shared" si="0"/>
        <v>5.952</v>
      </c>
      <c r="H19" s="4"/>
    </row>
    <row r="20" spans="1:8" x14ac:dyDescent="0.35">
      <c r="A20" s="3" t="s">
        <v>149</v>
      </c>
      <c r="B20" s="4" t="s">
        <v>286</v>
      </c>
      <c r="C20" s="17" t="s">
        <v>287</v>
      </c>
      <c r="D20" s="17" t="s">
        <v>617</v>
      </c>
      <c r="E20" s="4" t="s">
        <v>280</v>
      </c>
      <c r="F20" s="1">
        <v>496</v>
      </c>
      <c r="G20" s="13">
        <f t="shared" si="0"/>
        <v>5.952</v>
      </c>
      <c r="H20" s="4"/>
    </row>
    <row r="21" spans="1:8" x14ac:dyDescent="0.35">
      <c r="A21" s="3" t="s">
        <v>150</v>
      </c>
      <c r="B21" s="4" t="s">
        <v>288</v>
      </c>
      <c r="C21" s="17" t="s">
        <v>275</v>
      </c>
      <c r="D21" s="17" t="s">
        <v>617</v>
      </c>
      <c r="E21" s="4" t="s">
        <v>280</v>
      </c>
      <c r="F21" s="1">
        <v>495</v>
      </c>
      <c r="G21" s="13">
        <f t="shared" si="0"/>
        <v>5.94</v>
      </c>
      <c r="H21" s="4"/>
    </row>
    <row r="22" spans="1:8" x14ac:dyDescent="0.35">
      <c r="A22" s="3" t="s">
        <v>151</v>
      </c>
      <c r="B22" s="4" t="s">
        <v>289</v>
      </c>
      <c r="C22" s="14" t="s">
        <v>289</v>
      </c>
      <c r="D22" s="17" t="s">
        <v>617</v>
      </c>
      <c r="E22" s="4" t="s">
        <v>280</v>
      </c>
      <c r="F22" s="1">
        <v>495</v>
      </c>
      <c r="G22" s="13">
        <f t="shared" si="0"/>
        <v>5.94</v>
      </c>
      <c r="H22" s="4"/>
    </row>
    <row r="23" spans="1:8" x14ac:dyDescent="0.35">
      <c r="A23" s="3" t="s">
        <v>152</v>
      </c>
      <c r="B23" s="4" t="s">
        <v>290</v>
      </c>
      <c r="C23" s="14" t="s">
        <v>290</v>
      </c>
      <c r="D23" s="17" t="s">
        <v>617</v>
      </c>
      <c r="E23" s="4" t="s">
        <v>280</v>
      </c>
      <c r="F23" s="1">
        <v>496</v>
      </c>
      <c r="G23" s="13">
        <f t="shared" si="0"/>
        <v>5.952</v>
      </c>
      <c r="H23" s="4"/>
    </row>
    <row r="24" spans="1:8" x14ac:dyDescent="0.35">
      <c r="A24" s="3" t="s">
        <v>153</v>
      </c>
      <c r="B24" s="4" t="s">
        <v>291</v>
      </c>
      <c r="C24" s="17" t="s">
        <v>584</v>
      </c>
      <c r="D24" s="17" t="s">
        <v>617</v>
      </c>
      <c r="E24" s="4" t="s">
        <v>280</v>
      </c>
      <c r="F24" s="1">
        <v>496</v>
      </c>
      <c r="G24" s="13">
        <f t="shared" si="0"/>
        <v>5.952</v>
      </c>
      <c r="H24" s="4"/>
    </row>
    <row r="25" spans="1:8" x14ac:dyDescent="0.35">
      <c r="A25" s="3" t="s">
        <v>154</v>
      </c>
      <c r="B25" s="4" t="s">
        <v>292</v>
      </c>
      <c r="C25" s="17" t="s">
        <v>293</v>
      </c>
      <c r="D25" s="17" t="s">
        <v>617</v>
      </c>
      <c r="E25" s="4" t="s">
        <v>280</v>
      </c>
      <c r="F25" s="1">
        <v>496</v>
      </c>
      <c r="G25" s="13">
        <f t="shared" si="0"/>
        <v>5.952</v>
      </c>
      <c r="H25" s="4"/>
    </row>
    <row r="26" spans="1:8" x14ac:dyDescent="0.35">
      <c r="A26" s="3" t="s">
        <v>155</v>
      </c>
      <c r="B26" s="4" t="s">
        <v>441</v>
      </c>
      <c r="C26" s="17" t="s">
        <v>585</v>
      </c>
      <c r="D26" s="17" t="s">
        <v>617</v>
      </c>
      <c r="E26" s="4" t="s">
        <v>280</v>
      </c>
      <c r="F26" s="1">
        <v>496</v>
      </c>
      <c r="G26" s="13">
        <f t="shared" si="0"/>
        <v>5.952</v>
      </c>
      <c r="H26" s="4"/>
    </row>
    <row r="27" spans="1:8" x14ac:dyDescent="0.35">
      <c r="A27" s="3" t="s">
        <v>156</v>
      </c>
      <c r="B27" s="4" t="s">
        <v>294</v>
      </c>
      <c r="C27" s="17" t="s">
        <v>294</v>
      </c>
      <c r="D27" s="17" t="s">
        <v>617</v>
      </c>
      <c r="E27" s="4" t="s">
        <v>280</v>
      </c>
      <c r="F27" s="1">
        <v>496</v>
      </c>
      <c r="G27" s="13">
        <f t="shared" si="0"/>
        <v>5.952</v>
      </c>
      <c r="H27" s="4"/>
    </row>
    <row r="28" spans="1:8" x14ac:dyDescent="0.35">
      <c r="A28" s="3" t="s">
        <v>157</v>
      </c>
      <c r="B28" s="4" t="s">
        <v>295</v>
      </c>
      <c r="C28" s="14" t="s">
        <v>295</v>
      </c>
      <c r="D28" s="17" t="s">
        <v>617</v>
      </c>
      <c r="E28" s="4" t="s">
        <v>280</v>
      </c>
      <c r="F28" s="1">
        <v>658</v>
      </c>
      <c r="G28" s="13">
        <f t="shared" si="0"/>
        <v>7.8959999999999999</v>
      </c>
      <c r="H28" s="4"/>
    </row>
    <row r="29" spans="1:8" x14ac:dyDescent="0.35">
      <c r="A29" s="3" t="s">
        <v>158</v>
      </c>
      <c r="B29" s="4" t="s">
        <v>284</v>
      </c>
      <c r="C29" s="14" t="s">
        <v>284</v>
      </c>
      <c r="D29" s="17" t="s">
        <v>617</v>
      </c>
      <c r="E29" s="4" t="s">
        <v>296</v>
      </c>
      <c r="F29" s="1">
        <v>630</v>
      </c>
      <c r="G29" s="13">
        <f t="shared" si="0"/>
        <v>7.5600000000000005</v>
      </c>
      <c r="H29" s="4"/>
    </row>
    <row r="30" spans="1:8" x14ac:dyDescent="0.35">
      <c r="A30" s="3" t="s">
        <v>159</v>
      </c>
      <c r="B30" s="4" t="s">
        <v>586</v>
      </c>
      <c r="C30" s="14" t="s">
        <v>586</v>
      </c>
      <c r="D30" s="17" t="s">
        <v>617</v>
      </c>
      <c r="E30" s="4" t="s">
        <v>296</v>
      </c>
      <c r="F30" s="1">
        <v>494</v>
      </c>
      <c r="G30" s="13">
        <f t="shared" si="0"/>
        <v>5.9279999999999999</v>
      </c>
      <c r="H30" s="4"/>
    </row>
    <row r="31" spans="1:8" x14ac:dyDescent="0.35">
      <c r="A31" s="3" t="s">
        <v>160</v>
      </c>
      <c r="B31" s="4" t="s">
        <v>297</v>
      </c>
      <c r="C31" s="24" t="s">
        <v>581</v>
      </c>
      <c r="D31" s="17" t="s">
        <v>617</v>
      </c>
      <c r="E31" s="4" t="s">
        <v>296</v>
      </c>
      <c r="F31" s="1">
        <v>494</v>
      </c>
      <c r="G31" s="13">
        <f t="shared" si="0"/>
        <v>5.9279999999999999</v>
      </c>
      <c r="H31" s="4"/>
    </row>
    <row r="32" spans="1:8" x14ac:dyDescent="0.35">
      <c r="A32" s="3" t="s">
        <v>161</v>
      </c>
      <c r="B32" s="4" t="s">
        <v>287</v>
      </c>
      <c r="C32" s="14" t="s">
        <v>287</v>
      </c>
      <c r="D32" s="17" t="s">
        <v>617</v>
      </c>
      <c r="E32" s="4" t="s">
        <v>296</v>
      </c>
      <c r="F32" s="1">
        <v>494</v>
      </c>
      <c r="G32" s="13">
        <f t="shared" si="0"/>
        <v>5.9279999999999999</v>
      </c>
      <c r="H32" s="4"/>
    </row>
    <row r="33" spans="1:8" x14ac:dyDescent="0.35">
      <c r="A33" s="3" t="s">
        <v>162</v>
      </c>
      <c r="B33" s="4" t="s">
        <v>298</v>
      </c>
      <c r="C33" s="17" t="s">
        <v>318</v>
      </c>
      <c r="D33" s="17" t="s">
        <v>617</v>
      </c>
      <c r="E33" s="4" t="s">
        <v>296</v>
      </c>
      <c r="F33" s="1">
        <v>1482</v>
      </c>
      <c r="G33" s="13">
        <f t="shared" si="0"/>
        <v>17.783999999999999</v>
      </c>
      <c r="H33" s="4"/>
    </row>
    <row r="34" spans="1:8" x14ac:dyDescent="0.35">
      <c r="A34" s="3" t="s">
        <v>163</v>
      </c>
      <c r="B34" s="4" t="s">
        <v>299</v>
      </c>
      <c r="C34" s="14" t="s">
        <v>299</v>
      </c>
      <c r="D34" s="17" t="s">
        <v>617</v>
      </c>
      <c r="E34" s="4" t="s">
        <v>296</v>
      </c>
      <c r="F34" s="1">
        <v>988</v>
      </c>
      <c r="G34" s="13">
        <f t="shared" si="0"/>
        <v>11.856</v>
      </c>
      <c r="H34" s="4"/>
    </row>
    <row r="35" spans="1:8" x14ac:dyDescent="0.35">
      <c r="A35" s="3" t="s">
        <v>164</v>
      </c>
      <c r="B35" s="4" t="s">
        <v>300</v>
      </c>
      <c r="C35" s="17" t="s">
        <v>604</v>
      </c>
      <c r="D35" s="17" t="s">
        <v>617</v>
      </c>
      <c r="E35" s="4" t="s">
        <v>296</v>
      </c>
      <c r="F35" s="1">
        <v>494</v>
      </c>
      <c r="G35" s="13">
        <f t="shared" si="0"/>
        <v>5.9279999999999999</v>
      </c>
      <c r="H35" s="4"/>
    </row>
    <row r="36" spans="1:8" x14ac:dyDescent="0.35">
      <c r="A36" s="3" t="s">
        <v>165</v>
      </c>
      <c r="B36" s="4" t="s">
        <v>301</v>
      </c>
      <c r="C36" s="17" t="s">
        <v>473</v>
      </c>
      <c r="D36" s="17" t="s">
        <v>617</v>
      </c>
      <c r="E36" s="4" t="s">
        <v>296</v>
      </c>
      <c r="F36" s="1">
        <v>494</v>
      </c>
      <c r="G36" s="13">
        <f t="shared" si="0"/>
        <v>5.9279999999999999</v>
      </c>
      <c r="H36" s="4"/>
    </row>
    <row r="37" spans="1:8" x14ac:dyDescent="0.35">
      <c r="A37" s="3" t="s">
        <v>166</v>
      </c>
      <c r="B37" s="4" t="s">
        <v>302</v>
      </c>
      <c r="C37" s="17" t="s">
        <v>587</v>
      </c>
      <c r="D37" s="17" t="s">
        <v>617</v>
      </c>
      <c r="E37" s="4" t="s">
        <v>296</v>
      </c>
      <c r="F37" s="1">
        <v>494</v>
      </c>
      <c r="G37" s="13">
        <f t="shared" si="0"/>
        <v>5.9279999999999999</v>
      </c>
      <c r="H37" s="4"/>
    </row>
    <row r="38" spans="1:8" x14ac:dyDescent="0.35">
      <c r="A38" s="3" t="s">
        <v>167</v>
      </c>
      <c r="B38" s="4" t="s">
        <v>303</v>
      </c>
      <c r="C38" s="17" t="s">
        <v>482</v>
      </c>
      <c r="D38" s="17" t="s">
        <v>617</v>
      </c>
      <c r="E38" s="4" t="s">
        <v>296</v>
      </c>
      <c r="F38" s="1">
        <v>494</v>
      </c>
      <c r="G38" s="13">
        <f t="shared" si="0"/>
        <v>5.9279999999999999</v>
      </c>
      <c r="H38" s="4"/>
    </row>
    <row r="39" spans="1:8" x14ac:dyDescent="0.35">
      <c r="A39" s="3" t="s">
        <v>168</v>
      </c>
      <c r="B39" s="4" t="s">
        <v>304</v>
      </c>
      <c r="C39" s="17" t="s">
        <v>482</v>
      </c>
      <c r="D39" s="17" t="s">
        <v>617</v>
      </c>
      <c r="E39" s="4" t="s">
        <v>296</v>
      </c>
      <c r="F39" s="1">
        <v>494</v>
      </c>
      <c r="G39" s="13">
        <f t="shared" si="0"/>
        <v>5.9279999999999999</v>
      </c>
      <c r="H39" s="4"/>
    </row>
    <row r="40" spans="1:8" x14ac:dyDescent="0.35">
      <c r="A40" s="3" t="s">
        <v>169</v>
      </c>
      <c r="B40" s="4" t="s">
        <v>305</v>
      </c>
      <c r="C40" s="17" t="s">
        <v>306</v>
      </c>
      <c r="D40" s="17" t="s">
        <v>617</v>
      </c>
      <c r="E40" s="4" t="s">
        <v>296</v>
      </c>
      <c r="F40" s="1">
        <v>423</v>
      </c>
      <c r="G40" s="13">
        <f t="shared" si="0"/>
        <v>5.0760000000000005</v>
      </c>
      <c r="H40" s="4"/>
    </row>
    <row r="41" spans="1:8" x14ac:dyDescent="0.35">
      <c r="A41" s="3" t="s">
        <v>170</v>
      </c>
      <c r="B41" s="4" t="s">
        <v>307</v>
      </c>
      <c r="C41" s="14" t="s">
        <v>307</v>
      </c>
      <c r="D41" s="17" t="s">
        <v>617</v>
      </c>
      <c r="E41" s="4" t="s">
        <v>308</v>
      </c>
      <c r="F41" s="1">
        <v>390</v>
      </c>
      <c r="G41" s="13">
        <f t="shared" si="0"/>
        <v>4.68</v>
      </c>
      <c r="H41" s="4"/>
    </row>
    <row r="42" spans="1:8" x14ac:dyDescent="0.35">
      <c r="A42" s="3" t="s">
        <v>171</v>
      </c>
      <c r="B42" s="4" t="s">
        <v>309</v>
      </c>
      <c r="C42" s="14" t="s">
        <v>309</v>
      </c>
      <c r="D42" s="17" t="s">
        <v>617</v>
      </c>
      <c r="E42" s="4" t="s">
        <v>308</v>
      </c>
      <c r="F42" s="1">
        <v>1010</v>
      </c>
      <c r="G42" s="13">
        <f t="shared" si="0"/>
        <v>12.120000000000001</v>
      </c>
      <c r="H42" s="4"/>
    </row>
    <row r="43" spans="1:8" x14ac:dyDescent="0.35">
      <c r="A43" s="3" t="s">
        <v>172</v>
      </c>
      <c r="B43" s="4" t="s">
        <v>310</v>
      </c>
      <c r="C43" s="14" t="s">
        <v>310</v>
      </c>
      <c r="D43" s="17" t="s">
        <v>617</v>
      </c>
      <c r="E43" s="4" t="s">
        <v>308</v>
      </c>
      <c r="F43" s="1">
        <v>505</v>
      </c>
      <c r="G43" s="13">
        <f t="shared" si="0"/>
        <v>6.0600000000000005</v>
      </c>
      <c r="H43" s="4"/>
    </row>
    <row r="44" spans="1:8" x14ac:dyDescent="0.35">
      <c r="A44" s="3" t="s">
        <v>173</v>
      </c>
      <c r="B44" s="4" t="s">
        <v>311</v>
      </c>
      <c r="C44" s="17" t="s">
        <v>481</v>
      </c>
      <c r="D44" s="17" t="s">
        <v>617</v>
      </c>
      <c r="E44" s="4" t="s">
        <v>308</v>
      </c>
      <c r="F44" s="1">
        <v>505</v>
      </c>
      <c r="G44" s="13">
        <f t="shared" si="0"/>
        <v>6.0600000000000005</v>
      </c>
      <c r="H44" s="4"/>
    </row>
    <row r="45" spans="1:8" x14ac:dyDescent="0.35">
      <c r="A45" s="3" t="s">
        <v>174</v>
      </c>
      <c r="B45" s="4" t="s">
        <v>312</v>
      </c>
      <c r="C45" s="17" t="s">
        <v>588</v>
      </c>
      <c r="D45" s="17" t="s">
        <v>617</v>
      </c>
      <c r="E45" s="4" t="s">
        <v>308</v>
      </c>
      <c r="F45" s="1">
        <v>505</v>
      </c>
      <c r="G45" s="13">
        <f t="shared" si="0"/>
        <v>6.0600000000000005</v>
      </c>
      <c r="H45" s="4"/>
    </row>
    <row r="46" spans="1:8" x14ac:dyDescent="0.35">
      <c r="A46" s="3" t="s">
        <v>175</v>
      </c>
      <c r="B46" s="4" t="s">
        <v>313</v>
      </c>
      <c r="C46" s="17" t="s">
        <v>589</v>
      </c>
      <c r="D46" s="17" t="s">
        <v>617</v>
      </c>
      <c r="E46" s="4" t="s">
        <v>308</v>
      </c>
      <c r="F46" s="1">
        <v>700</v>
      </c>
      <c r="G46" s="13">
        <f t="shared" si="0"/>
        <v>8.4</v>
      </c>
      <c r="H46" s="4"/>
    </row>
    <row r="47" spans="1:8" x14ac:dyDescent="0.35">
      <c r="A47" s="3" t="s">
        <v>176</v>
      </c>
      <c r="B47" s="4" t="s">
        <v>314</v>
      </c>
      <c r="C47" s="17" t="s">
        <v>590</v>
      </c>
      <c r="D47" s="17" t="s">
        <v>617</v>
      </c>
      <c r="E47" s="4" t="s">
        <v>308</v>
      </c>
      <c r="F47" s="1">
        <v>310</v>
      </c>
      <c r="G47" s="13">
        <f t="shared" si="0"/>
        <v>3.72</v>
      </c>
      <c r="H47" s="4"/>
    </row>
    <row r="48" spans="1:8" x14ac:dyDescent="0.35">
      <c r="A48" s="3" t="s">
        <v>177</v>
      </c>
      <c r="B48" s="4" t="s">
        <v>315</v>
      </c>
      <c r="C48" s="17" t="s">
        <v>591</v>
      </c>
      <c r="D48" s="17" t="s">
        <v>617</v>
      </c>
      <c r="E48" s="4" t="s">
        <v>308</v>
      </c>
      <c r="F48" s="1">
        <v>505</v>
      </c>
      <c r="G48" s="13">
        <f t="shared" si="0"/>
        <v>6.0600000000000005</v>
      </c>
      <c r="H48" s="4"/>
    </row>
    <row r="49" spans="1:8" x14ac:dyDescent="0.35">
      <c r="A49" s="3" t="s">
        <v>178</v>
      </c>
      <c r="B49" s="4" t="s">
        <v>307</v>
      </c>
      <c r="C49" s="14" t="s">
        <v>307</v>
      </c>
      <c r="D49" s="17" t="s">
        <v>617</v>
      </c>
      <c r="E49" s="4" t="s">
        <v>308</v>
      </c>
      <c r="F49" s="1">
        <v>504</v>
      </c>
      <c r="G49" s="13">
        <f t="shared" si="0"/>
        <v>6.048</v>
      </c>
      <c r="H49" s="4"/>
    </row>
    <row r="50" spans="1:8" x14ac:dyDescent="0.35">
      <c r="A50" s="3" t="s">
        <v>179</v>
      </c>
      <c r="B50" s="4" t="s">
        <v>316</v>
      </c>
      <c r="C50" s="19" t="s">
        <v>592</v>
      </c>
      <c r="D50" s="17" t="s">
        <v>617</v>
      </c>
      <c r="E50" s="4" t="s">
        <v>308</v>
      </c>
      <c r="F50" s="1">
        <v>1010</v>
      </c>
      <c r="G50" s="13">
        <f t="shared" si="0"/>
        <v>12.120000000000001</v>
      </c>
      <c r="H50" s="4"/>
    </row>
    <row r="51" spans="1:8" x14ac:dyDescent="0.35">
      <c r="A51" s="3" t="s">
        <v>180</v>
      </c>
      <c r="B51" s="4" t="s">
        <v>317</v>
      </c>
      <c r="C51" s="14" t="s">
        <v>289</v>
      </c>
      <c r="D51" s="17" t="s">
        <v>617</v>
      </c>
      <c r="E51" s="4" t="s">
        <v>308</v>
      </c>
      <c r="F51" s="1">
        <v>504</v>
      </c>
      <c r="G51" s="13">
        <f t="shared" si="0"/>
        <v>6.048</v>
      </c>
      <c r="H51" s="4"/>
    </row>
    <row r="52" spans="1:8" x14ac:dyDescent="0.35">
      <c r="A52" s="3" t="s">
        <v>181</v>
      </c>
      <c r="B52" s="4" t="s">
        <v>442</v>
      </c>
      <c r="C52" s="17" t="s">
        <v>453</v>
      </c>
      <c r="D52" s="17" t="s">
        <v>617</v>
      </c>
      <c r="E52" s="4" t="s">
        <v>308</v>
      </c>
      <c r="F52" s="1">
        <v>504</v>
      </c>
      <c r="G52" s="13">
        <f t="shared" si="0"/>
        <v>6.048</v>
      </c>
      <c r="H52" s="4"/>
    </row>
    <row r="53" spans="1:8" x14ac:dyDescent="0.35">
      <c r="A53" s="3" t="s">
        <v>182</v>
      </c>
      <c r="B53" s="4" t="s">
        <v>318</v>
      </c>
      <c r="C53" s="14" t="s">
        <v>318</v>
      </c>
      <c r="D53" s="17" t="s">
        <v>617</v>
      </c>
      <c r="E53" s="4" t="s">
        <v>308</v>
      </c>
      <c r="F53" s="1">
        <v>504</v>
      </c>
      <c r="G53" s="13">
        <f t="shared" si="0"/>
        <v>6.048</v>
      </c>
      <c r="H53" s="4"/>
    </row>
    <row r="54" spans="1:8" x14ac:dyDescent="0.35">
      <c r="A54" s="3" t="s">
        <v>183</v>
      </c>
      <c r="B54" s="4" t="s">
        <v>319</v>
      </c>
      <c r="C54" s="17" t="s">
        <v>281</v>
      </c>
      <c r="D54" s="17" t="s">
        <v>617</v>
      </c>
      <c r="E54" s="4" t="s">
        <v>320</v>
      </c>
      <c r="F54" s="1">
        <v>867</v>
      </c>
      <c r="G54" s="13">
        <f t="shared" si="0"/>
        <v>10.404</v>
      </c>
      <c r="H54" s="4"/>
    </row>
    <row r="55" spans="1:8" x14ac:dyDescent="0.35">
      <c r="A55" s="3" t="s">
        <v>184</v>
      </c>
      <c r="B55" s="4" t="s">
        <v>306</v>
      </c>
      <c r="C55" s="17" t="s">
        <v>281</v>
      </c>
      <c r="D55" s="17" t="s">
        <v>617</v>
      </c>
      <c r="E55" s="4" t="s">
        <v>320</v>
      </c>
      <c r="F55" s="1">
        <v>450</v>
      </c>
      <c r="G55" s="13">
        <f t="shared" si="0"/>
        <v>5.4</v>
      </c>
      <c r="H55" s="4"/>
    </row>
    <row r="56" spans="1:8" x14ac:dyDescent="0.35">
      <c r="A56" s="3" t="s">
        <v>185</v>
      </c>
      <c r="B56" s="4" t="s">
        <v>321</v>
      </c>
      <c r="C56" s="17" t="s">
        <v>534</v>
      </c>
      <c r="D56" s="17" t="s">
        <v>617</v>
      </c>
      <c r="E56" s="4" t="s">
        <v>320</v>
      </c>
      <c r="F56" s="1">
        <v>500</v>
      </c>
      <c r="G56" s="13">
        <f t="shared" si="0"/>
        <v>6</v>
      </c>
      <c r="H56" s="4"/>
    </row>
    <row r="57" spans="1:8" x14ac:dyDescent="0.35">
      <c r="A57" s="3" t="s">
        <v>186</v>
      </c>
      <c r="B57" s="4" t="s">
        <v>285</v>
      </c>
      <c r="C57" s="17" t="s">
        <v>583</v>
      </c>
      <c r="D57" s="17" t="s">
        <v>617</v>
      </c>
      <c r="E57" s="4" t="s">
        <v>320</v>
      </c>
      <c r="F57" s="1">
        <v>1000</v>
      </c>
      <c r="G57" s="13">
        <f t="shared" si="0"/>
        <v>12</v>
      </c>
      <c r="H57" s="4"/>
    </row>
    <row r="58" spans="1:8" x14ac:dyDescent="0.35">
      <c r="A58" s="3" t="s">
        <v>187</v>
      </c>
      <c r="B58" s="4" t="s">
        <v>322</v>
      </c>
      <c r="C58" s="17" t="s">
        <v>582</v>
      </c>
      <c r="D58" s="17" t="s">
        <v>617</v>
      </c>
      <c r="E58" s="4" t="s">
        <v>320</v>
      </c>
      <c r="F58" s="1">
        <v>500</v>
      </c>
      <c r="G58" s="13">
        <f t="shared" si="0"/>
        <v>6</v>
      </c>
      <c r="H58" s="4"/>
    </row>
    <row r="59" spans="1:8" x14ac:dyDescent="0.35">
      <c r="A59" s="3" t="s">
        <v>188</v>
      </c>
      <c r="B59" s="4" t="s">
        <v>323</v>
      </c>
      <c r="C59" s="17" t="s">
        <v>323</v>
      </c>
      <c r="D59" s="17" t="s">
        <v>617</v>
      </c>
      <c r="E59" s="4" t="s">
        <v>320</v>
      </c>
      <c r="F59" s="1">
        <v>502</v>
      </c>
      <c r="G59" s="13">
        <f t="shared" si="0"/>
        <v>6.024</v>
      </c>
      <c r="H59" s="4"/>
    </row>
    <row r="60" spans="1:8" x14ac:dyDescent="0.35">
      <c r="A60" s="3" t="s">
        <v>189</v>
      </c>
      <c r="B60" s="4" t="s">
        <v>324</v>
      </c>
      <c r="C60" s="17" t="s">
        <v>324</v>
      </c>
      <c r="D60" s="17" t="s">
        <v>617</v>
      </c>
      <c r="E60" s="4" t="s">
        <v>320</v>
      </c>
      <c r="F60" s="1">
        <v>1000</v>
      </c>
      <c r="G60" s="13">
        <f t="shared" si="0"/>
        <v>12</v>
      </c>
      <c r="H60" s="4"/>
    </row>
    <row r="61" spans="1:8" x14ac:dyDescent="0.35">
      <c r="A61" s="3" t="s">
        <v>190</v>
      </c>
      <c r="B61" s="4" t="s">
        <v>325</v>
      </c>
      <c r="C61" s="19" t="s">
        <v>593</v>
      </c>
      <c r="D61" s="17" t="s">
        <v>617</v>
      </c>
      <c r="E61" s="4" t="s">
        <v>320</v>
      </c>
      <c r="F61" s="1">
        <v>1002</v>
      </c>
      <c r="G61" s="13">
        <f t="shared" si="0"/>
        <v>12.024000000000001</v>
      </c>
      <c r="H61" s="4"/>
    </row>
    <row r="62" spans="1:8" x14ac:dyDescent="0.35">
      <c r="A62" s="3" t="s">
        <v>191</v>
      </c>
      <c r="B62" s="4" t="s">
        <v>326</v>
      </c>
      <c r="C62" s="17" t="s">
        <v>594</v>
      </c>
      <c r="D62" s="17" t="s">
        <v>617</v>
      </c>
      <c r="E62" s="4" t="s">
        <v>320</v>
      </c>
      <c r="F62" s="1">
        <v>1002</v>
      </c>
      <c r="G62" s="13">
        <f t="shared" si="0"/>
        <v>12.024000000000001</v>
      </c>
      <c r="H62" s="4"/>
    </row>
    <row r="63" spans="1:8" x14ac:dyDescent="0.35">
      <c r="A63" s="3" t="s">
        <v>192</v>
      </c>
      <c r="B63" s="4" t="s">
        <v>327</v>
      </c>
      <c r="C63" s="17" t="s">
        <v>327</v>
      </c>
      <c r="D63" s="17" t="s">
        <v>617</v>
      </c>
      <c r="E63" s="4" t="s">
        <v>328</v>
      </c>
      <c r="F63" s="1">
        <v>950</v>
      </c>
      <c r="G63" s="13">
        <f t="shared" si="0"/>
        <v>11.4</v>
      </c>
      <c r="H63" s="4"/>
    </row>
    <row r="64" spans="1:8" x14ac:dyDescent="0.35">
      <c r="A64" s="3" t="s">
        <v>193</v>
      </c>
      <c r="B64" s="4" t="s">
        <v>329</v>
      </c>
      <c r="C64" s="14" t="s">
        <v>329</v>
      </c>
      <c r="D64" s="17" t="s">
        <v>617</v>
      </c>
      <c r="E64" s="4" t="s">
        <v>328</v>
      </c>
      <c r="F64" s="1">
        <v>996</v>
      </c>
      <c r="G64" s="13">
        <f t="shared" si="0"/>
        <v>11.952</v>
      </c>
      <c r="H64" s="4"/>
    </row>
    <row r="65" spans="1:8" x14ac:dyDescent="0.35">
      <c r="A65" s="3" t="s">
        <v>194</v>
      </c>
      <c r="B65" s="4" t="s">
        <v>273</v>
      </c>
      <c r="C65" s="24" t="s">
        <v>580</v>
      </c>
      <c r="D65" s="17" t="s">
        <v>617</v>
      </c>
      <c r="E65" s="4" t="s">
        <v>328</v>
      </c>
      <c r="F65" s="1">
        <v>996</v>
      </c>
      <c r="G65" s="13">
        <f t="shared" si="0"/>
        <v>11.952</v>
      </c>
      <c r="H65" s="4"/>
    </row>
    <row r="66" spans="1:8" x14ac:dyDescent="0.35">
      <c r="A66" s="3" t="s">
        <v>195</v>
      </c>
      <c r="B66" s="4" t="s">
        <v>297</v>
      </c>
      <c r="C66" s="24" t="s">
        <v>581</v>
      </c>
      <c r="D66" s="17" t="s">
        <v>617</v>
      </c>
      <c r="E66" s="4" t="s">
        <v>328</v>
      </c>
      <c r="F66" s="1">
        <v>1029</v>
      </c>
      <c r="G66" s="13">
        <f t="shared" si="0"/>
        <v>12.348000000000001</v>
      </c>
      <c r="H66" s="4"/>
    </row>
    <row r="67" spans="1:8" x14ac:dyDescent="0.35">
      <c r="A67" s="3" t="s">
        <v>196</v>
      </c>
      <c r="B67" s="4" t="s">
        <v>292</v>
      </c>
      <c r="C67" s="14" t="s">
        <v>292</v>
      </c>
      <c r="D67" s="17" t="s">
        <v>617</v>
      </c>
      <c r="E67" s="4" t="s">
        <v>328</v>
      </c>
      <c r="F67" s="1">
        <v>564</v>
      </c>
      <c r="G67" s="13">
        <f t="shared" si="0"/>
        <v>6.7679999999999998</v>
      </c>
      <c r="H67" s="4"/>
    </row>
    <row r="68" spans="1:8" x14ac:dyDescent="0.35">
      <c r="A68" s="3" t="s">
        <v>197</v>
      </c>
      <c r="B68" s="4" t="s">
        <v>330</v>
      </c>
      <c r="C68" s="17" t="s">
        <v>604</v>
      </c>
      <c r="D68" s="17" t="s">
        <v>617</v>
      </c>
      <c r="E68" s="4" t="s">
        <v>328</v>
      </c>
      <c r="F68" s="1">
        <v>468</v>
      </c>
      <c r="G68" s="13">
        <f t="shared" si="0"/>
        <v>5.6160000000000005</v>
      </c>
      <c r="H68" s="4"/>
    </row>
    <row r="69" spans="1:8" x14ac:dyDescent="0.35">
      <c r="A69" s="3" t="s">
        <v>198</v>
      </c>
      <c r="B69" s="4" t="s">
        <v>331</v>
      </c>
      <c r="C69" s="17" t="s">
        <v>310</v>
      </c>
      <c r="D69" s="17" t="s">
        <v>617</v>
      </c>
      <c r="E69" s="4" t="s">
        <v>332</v>
      </c>
      <c r="F69" s="1">
        <v>677</v>
      </c>
      <c r="G69" s="13">
        <f t="shared" si="0"/>
        <v>8.1240000000000006</v>
      </c>
      <c r="H69" s="4"/>
    </row>
    <row r="70" spans="1:8" x14ac:dyDescent="0.35">
      <c r="A70" s="3" t="s">
        <v>199</v>
      </c>
      <c r="B70" s="4" t="s">
        <v>333</v>
      </c>
      <c r="C70" s="17" t="s">
        <v>595</v>
      </c>
      <c r="D70" s="17" t="s">
        <v>617</v>
      </c>
      <c r="E70" s="4" t="s">
        <v>332</v>
      </c>
      <c r="F70" s="1">
        <f>500+227</f>
        <v>727</v>
      </c>
      <c r="G70" s="13">
        <f t="shared" ref="G70:G133" si="1">(6/500)*F70</f>
        <v>8.7240000000000002</v>
      </c>
      <c r="H70" s="4"/>
    </row>
    <row r="71" spans="1:8" x14ac:dyDescent="0.35">
      <c r="A71" s="3" t="s">
        <v>200</v>
      </c>
      <c r="B71" s="4" t="s">
        <v>334</v>
      </c>
      <c r="C71" s="14" t="s">
        <v>334</v>
      </c>
      <c r="D71" s="17" t="s">
        <v>617</v>
      </c>
      <c r="E71" s="4" t="s">
        <v>332</v>
      </c>
      <c r="F71" s="1">
        <v>1014</v>
      </c>
      <c r="G71" s="13">
        <f t="shared" si="1"/>
        <v>12.168000000000001</v>
      </c>
      <c r="H71" s="4"/>
    </row>
    <row r="72" spans="1:8" x14ac:dyDescent="0.35">
      <c r="A72" s="3" t="s">
        <v>201</v>
      </c>
      <c r="B72" s="4" t="s">
        <v>335</v>
      </c>
      <c r="C72" s="17" t="s">
        <v>596</v>
      </c>
      <c r="D72" s="17" t="s">
        <v>617</v>
      </c>
      <c r="E72" s="4" t="s">
        <v>332</v>
      </c>
      <c r="F72" s="1">
        <v>982</v>
      </c>
      <c r="G72" s="13">
        <f t="shared" si="1"/>
        <v>11.784000000000001</v>
      </c>
      <c r="H72" s="4"/>
    </row>
    <row r="73" spans="1:8" x14ac:dyDescent="0.35">
      <c r="A73" s="3" t="s">
        <v>202</v>
      </c>
      <c r="B73" s="4" t="s">
        <v>313</v>
      </c>
      <c r="C73" s="17" t="s">
        <v>596</v>
      </c>
      <c r="D73" s="17" t="s">
        <v>617</v>
      </c>
      <c r="E73" s="4" t="s">
        <v>332</v>
      </c>
      <c r="F73" s="1">
        <v>523</v>
      </c>
      <c r="G73" s="13">
        <f t="shared" si="1"/>
        <v>6.2759999999999998</v>
      </c>
      <c r="H73" s="4"/>
    </row>
    <row r="74" spans="1:8" x14ac:dyDescent="0.35">
      <c r="A74" s="3" t="s">
        <v>203</v>
      </c>
      <c r="B74" s="4" t="s">
        <v>336</v>
      </c>
      <c r="C74" s="14" t="s">
        <v>336</v>
      </c>
      <c r="D74" s="17" t="s">
        <v>617</v>
      </c>
      <c r="E74" s="4" t="s">
        <v>332</v>
      </c>
      <c r="F74" s="1">
        <v>982</v>
      </c>
      <c r="G74" s="13">
        <f t="shared" si="1"/>
        <v>11.784000000000001</v>
      </c>
      <c r="H74" s="4"/>
    </row>
    <row r="75" spans="1:8" x14ac:dyDescent="0.35">
      <c r="A75" s="3" t="s">
        <v>204</v>
      </c>
      <c r="B75" s="4" t="s">
        <v>337</v>
      </c>
      <c r="C75" s="17" t="s">
        <v>460</v>
      </c>
      <c r="D75" s="17" t="s">
        <v>617</v>
      </c>
      <c r="E75" s="4" t="s">
        <v>332</v>
      </c>
      <c r="F75" s="1">
        <v>490</v>
      </c>
      <c r="G75" s="13">
        <f t="shared" si="1"/>
        <v>5.88</v>
      </c>
      <c r="H75" s="4"/>
    </row>
    <row r="76" spans="1:8" x14ac:dyDescent="0.35">
      <c r="A76" s="3" t="s">
        <v>205</v>
      </c>
      <c r="B76" s="4" t="s">
        <v>338</v>
      </c>
      <c r="C76" s="17" t="s">
        <v>597</v>
      </c>
      <c r="D76" s="17" t="s">
        <v>617</v>
      </c>
      <c r="E76" s="4" t="s">
        <v>332</v>
      </c>
      <c r="F76" s="1">
        <v>1014</v>
      </c>
      <c r="G76" s="13">
        <f t="shared" si="1"/>
        <v>12.168000000000001</v>
      </c>
      <c r="H76" s="4"/>
    </row>
    <row r="77" spans="1:8" x14ac:dyDescent="0.35">
      <c r="A77" s="3" t="s">
        <v>206</v>
      </c>
      <c r="B77" s="4" t="s">
        <v>339</v>
      </c>
      <c r="C77" s="17" t="s">
        <v>485</v>
      </c>
      <c r="D77" s="17" t="s">
        <v>617</v>
      </c>
      <c r="E77" s="4" t="s">
        <v>332</v>
      </c>
      <c r="F77" s="1">
        <v>1047</v>
      </c>
      <c r="G77" s="13">
        <f t="shared" si="1"/>
        <v>12.564</v>
      </c>
      <c r="H77" s="4"/>
    </row>
    <row r="78" spans="1:8" x14ac:dyDescent="0.35">
      <c r="A78" s="3" t="s">
        <v>207</v>
      </c>
      <c r="B78" s="4" t="s">
        <v>340</v>
      </c>
      <c r="C78" s="14" t="s">
        <v>61</v>
      </c>
      <c r="D78" s="17" t="s">
        <v>617</v>
      </c>
      <c r="E78" s="4" t="s">
        <v>332</v>
      </c>
      <c r="F78" s="1">
        <v>1144</v>
      </c>
      <c r="G78" s="13">
        <f t="shared" si="1"/>
        <v>13.728</v>
      </c>
      <c r="H78" s="4"/>
    </row>
    <row r="79" spans="1:8" x14ac:dyDescent="0.35">
      <c r="A79" s="3" t="s">
        <v>208</v>
      </c>
      <c r="B79" s="4" t="s">
        <v>341</v>
      </c>
      <c r="C79" s="14" t="s">
        <v>341</v>
      </c>
      <c r="D79" s="17" t="s">
        <v>617</v>
      </c>
      <c r="E79" s="4" t="s">
        <v>342</v>
      </c>
      <c r="F79" s="1">
        <v>1104</v>
      </c>
      <c r="G79" s="13">
        <f t="shared" si="1"/>
        <v>13.248000000000001</v>
      </c>
      <c r="H79" s="4"/>
    </row>
    <row r="80" spans="1:8" x14ac:dyDescent="0.35">
      <c r="A80" s="3" t="s">
        <v>209</v>
      </c>
      <c r="B80" s="4" t="s">
        <v>343</v>
      </c>
      <c r="C80" s="17" t="s">
        <v>598</v>
      </c>
      <c r="D80" s="17" t="s">
        <v>617</v>
      </c>
      <c r="E80" s="4" t="s">
        <v>342</v>
      </c>
      <c r="F80" s="1">
        <v>1004</v>
      </c>
      <c r="G80" s="13">
        <f t="shared" si="1"/>
        <v>12.048</v>
      </c>
      <c r="H80" s="4"/>
    </row>
    <row r="81" spans="1:8" x14ac:dyDescent="0.35">
      <c r="A81" s="3" t="s">
        <v>210</v>
      </c>
      <c r="B81" s="4" t="s">
        <v>344</v>
      </c>
      <c r="C81" s="17" t="s">
        <v>594</v>
      </c>
      <c r="D81" s="17" t="s">
        <v>617</v>
      </c>
      <c r="E81" s="4" t="s">
        <v>342</v>
      </c>
      <c r="F81" s="1">
        <v>1004</v>
      </c>
      <c r="G81" s="13">
        <f t="shared" si="1"/>
        <v>12.048</v>
      </c>
      <c r="H81" s="4"/>
    </row>
    <row r="82" spans="1:8" x14ac:dyDescent="0.35">
      <c r="A82" s="3" t="s">
        <v>211</v>
      </c>
      <c r="B82" s="4" t="s">
        <v>315</v>
      </c>
      <c r="C82" s="17" t="s">
        <v>283</v>
      </c>
      <c r="D82" s="17" t="s">
        <v>617</v>
      </c>
      <c r="E82" s="4" t="s">
        <v>342</v>
      </c>
      <c r="F82" s="1">
        <v>1004</v>
      </c>
      <c r="G82" s="13">
        <f t="shared" si="1"/>
        <v>12.048</v>
      </c>
      <c r="H82" s="4"/>
    </row>
    <row r="83" spans="1:8" x14ac:dyDescent="0.35">
      <c r="A83" s="3" t="s">
        <v>212</v>
      </c>
      <c r="B83" s="4" t="s">
        <v>345</v>
      </c>
      <c r="C83" s="17" t="s">
        <v>283</v>
      </c>
      <c r="D83" s="17" t="s">
        <v>617</v>
      </c>
      <c r="E83" s="4" t="s">
        <v>342</v>
      </c>
      <c r="F83" s="1">
        <v>1006</v>
      </c>
      <c r="G83" s="13">
        <f t="shared" si="1"/>
        <v>12.072000000000001</v>
      </c>
      <c r="H83" s="4"/>
    </row>
    <row r="84" spans="1:8" x14ac:dyDescent="0.35">
      <c r="A84" s="3" t="s">
        <v>213</v>
      </c>
      <c r="B84" s="4" t="s">
        <v>283</v>
      </c>
      <c r="C84" s="17" t="s">
        <v>283</v>
      </c>
      <c r="D84" s="17" t="s">
        <v>617</v>
      </c>
      <c r="E84" s="4" t="s">
        <v>342</v>
      </c>
      <c r="F84" s="1">
        <v>500</v>
      </c>
      <c r="G84" s="13">
        <f t="shared" si="1"/>
        <v>6</v>
      </c>
      <c r="H84" s="4"/>
    </row>
    <row r="85" spans="1:8" x14ac:dyDescent="0.35">
      <c r="A85" s="3" t="s">
        <v>214</v>
      </c>
      <c r="B85" s="4" t="s">
        <v>282</v>
      </c>
      <c r="C85" s="14" t="s">
        <v>282</v>
      </c>
      <c r="D85" s="17" t="s">
        <v>617</v>
      </c>
      <c r="E85" s="4" t="s">
        <v>342</v>
      </c>
      <c r="F85" s="1">
        <v>1000</v>
      </c>
      <c r="G85" s="13">
        <f t="shared" si="1"/>
        <v>12</v>
      </c>
      <c r="H85" s="4"/>
    </row>
    <row r="86" spans="1:8" x14ac:dyDescent="0.35">
      <c r="A86" s="3" t="s">
        <v>215</v>
      </c>
      <c r="B86" s="4" t="s">
        <v>346</v>
      </c>
      <c r="C86" s="17" t="s">
        <v>474</v>
      </c>
      <c r="D86" s="17" t="s">
        <v>617</v>
      </c>
      <c r="E86" s="4" t="s">
        <v>342</v>
      </c>
      <c r="F86" s="1">
        <v>1004</v>
      </c>
      <c r="G86" s="13">
        <f t="shared" si="1"/>
        <v>12.048</v>
      </c>
      <c r="H86" s="4"/>
    </row>
    <row r="87" spans="1:8" x14ac:dyDescent="0.35">
      <c r="A87" s="3" t="s">
        <v>216</v>
      </c>
      <c r="B87" s="4" t="s">
        <v>347</v>
      </c>
      <c r="C87" s="17" t="s">
        <v>335</v>
      </c>
      <c r="D87" s="17" t="s">
        <v>617</v>
      </c>
      <c r="E87" s="4" t="s">
        <v>348</v>
      </c>
      <c r="F87" s="1">
        <v>1020</v>
      </c>
      <c r="G87" s="13">
        <f t="shared" si="1"/>
        <v>12.24</v>
      </c>
      <c r="H87" s="4"/>
    </row>
    <row r="88" spans="1:8" x14ac:dyDescent="0.35">
      <c r="A88" s="3" t="s">
        <v>217</v>
      </c>
      <c r="B88" s="4" t="s">
        <v>349</v>
      </c>
      <c r="C88" s="17" t="s">
        <v>597</v>
      </c>
      <c r="D88" s="17" t="s">
        <v>617</v>
      </c>
      <c r="E88" s="4" t="s">
        <v>348</v>
      </c>
      <c r="F88" s="1">
        <v>494</v>
      </c>
      <c r="G88" s="13">
        <f t="shared" si="1"/>
        <v>5.9279999999999999</v>
      </c>
      <c r="H88" s="4"/>
    </row>
    <row r="89" spans="1:8" x14ac:dyDescent="0.35">
      <c r="A89" s="3" t="s">
        <v>218</v>
      </c>
      <c r="B89" s="4" t="s">
        <v>350</v>
      </c>
      <c r="C89" s="17" t="s">
        <v>351</v>
      </c>
      <c r="D89" s="17" t="s">
        <v>617</v>
      </c>
      <c r="E89" s="4" t="s">
        <v>348</v>
      </c>
      <c r="F89" s="1">
        <v>988</v>
      </c>
      <c r="G89" s="13">
        <f t="shared" si="1"/>
        <v>11.856</v>
      </c>
      <c r="H89" s="4"/>
    </row>
    <row r="90" spans="1:8" x14ac:dyDescent="0.35">
      <c r="A90" s="3" t="s">
        <v>219</v>
      </c>
      <c r="B90" s="4" t="s">
        <v>335</v>
      </c>
      <c r="C90" s="17" t="s">
        <v>335</v>
      </c>
      <c r="D90" s="17" t="s">
        <v>617</v>
      </c>
      <c r="E90" s="4" t="s">
        <v>348</v>
      </c>
      <c r="F90" s="1">
        <v>494</v>
      </c>
      <c r="G90" s="13">
        <f t="shared" si="1"/>
        <v>5.9279999999999999</v>
      </c>
      <c r="H90" s="4"/>
    </row>
    <row r="91" spans="1:8" x14ac:dyDescent="0.35">
      <c r="A91" s="3" t="s">
        <v>220</v>
      </c>
      <c r="B91" s="4" t="s">
        <v>351</v>
      </c>
      <c r="C91" s="17" t="s">
        <v>351</v>
      </c>
      <c r="D91" s="17" t="s">
        <v>617</v>
      </c>
      <c r="E91" s="4" t="s">
        <v>348</v>
      </c>
      <c r="F91" s="1">
        <v>987</v>
      </c>
      <c r="G91" s="13">
        <f t="shared" si="1"/>
        <v>11.843999999999999</v>
      </c>
      <c r="H91" s="4"/>
    </row>
    <row r="92" spans="1:8" x14ac:dyDescent="0.35">
      <c r="A92" s="3" t="s">
        <v>221</v>
      </c>
      <c r="B92" s="4" t="s">
        <v>350</v>
      </c>
      <c r="C92" s="17" t="s">
        <v>600</v>
      </c>
      <c r="D92" s="17" t="s">
        <v>617</v>
      </c>
      <c r="E92" s="4" t="s">
        <v>348</v>
      </c>
      <c r="F92" s="1">
        <v>987</v>
      </c>
      <c r="G92" s="13">
        <f t="shared" si="1"/>
        <v>11.843999999999999</v>
      </c>
      <c r="H92" s="4"/>
    </row>
    <row r="93" spans="1:8" x14ac:dyDescent="0.35">
      <c r="A93" s="3" t="s">
        <v>222</v>
      </c>
      <c r="B93" s="4" t="s">
        <v>311</v>
      </c>
      <c r="C93" s="17" t="s">
        <v>481</v>
      </c>
      <c r="D93" s="17" t="s">
        <v>617</v>
      </c>
      <c r="E93" s="4" t="s">
        <v>348</v>
      </c>
      <c r="F93" s="1">
        <v>988</v>
      </c>
      <c r="G93" s="13">
        <f t="shared" si="1"/>
        <v>11.856</v>
      </c>
      <c r="H93" s="4"/>
    </row>
    <row r="94" spans="1:8" x14ac:dyDescent="0.35">
      <c r="A94" s="3" t="s">
        <v>223</v>
      </c>
      <c r="B94" s="4" t="s">
        <v>352</v>
      </c>
      <c r="C94" s="17" t="s">
        <v>597</v>
      </c>
      <c r="D94" s="17" t="s">
        <v>617</v>
      </c>
      <c r="E94" s="4" t="s">
        <v>348</v>
      </c>
      <c r="F94" s="1">
        <v>988</v>
      </c>
      <c r="G94" s="13">
        <f t="shared" si="1"/>
        <v>11.856</v>
      </c>
      <c r="H94" s="4"/>
    </row>
    <row r="95" spans="1:8" x14ac:dyDescent="0.35">
      <c r="A95" s="3" t="s">
        <v>224</v>
      </c>
      <c r="B95" s="4" t="s">
        <v>323</v>
      </c>
      <c r="C95" s="17" t="s">
        <v>323</v>
      </c>
      <c r="D95" s="17" t="s">
        <v>617</v>
      </c>
      <c r="E95" s="4" t="s">
        <v>348</v>
      </c>
      <c r="F95" s="1">
        <v>494</v>
      </c>
      <c r="G95" s="13">
        <f t="shared" si="1"/>
        <v>5.9279999999999999</v>
      </c>
      <c r="H95" s="4"/>
    </row>
    <row r="96" spans="1:8" x14ac:dyDescent="0.35">
      <c r="A96" s="3" t="s">
        <v>225</v>
      </c>
      <c r="B96" s="4" t="s">
        <v>353</v>
      </c>
      <c r="C96" s="14" t="s">
        <v>353</v>
      </c>
      <c r="D96" s="17" t="s">
        <v>617</v>
      </c>
      <c r="E96" s="4" t="s">
        <v>354</v>
      </c>
      <c r="F96" s="1">
        <v>1000</v>
      </c>
      <c r="G96" s="13">
        <f t="shared" si="1"/>
        <v>12</v>
      </c>
      <c r="H96" s="4"/>
    </row>
    <row r="97" spans="1:8" x14ac:dyDescent="0.35">
      <c r="A97" s="3" t="s">
        <v>226</v>
      </c>
      <c r="B97" s="4" t="s">
        <v>355</v>
      </c>
      <c r="C97" s="17" t="s">
        <v>601</v>
      </c>
      <c r="D97" s="17" t="s">
        <v>617</v>
      </c>
      <c r="E97" s="4" t="s">
        <v>354</v>
      </c>
      <c r="F97" s="1">
        <v>1002</v>
      </c>
      <c r="G97" s="13">
        <f t="shared" si="1"/>
        <v>12.024000000000001</v>
      </c>
      <c r="H97" s="4"/>
    </row>
    <row r="98" spans="1:8" x14ac:dyDescent="0.35">
      <c r="A98" s="3" t="s">
        <v>227</v>
      </c>
      <c r="B98" s="4" t="s">
        <v>356</v>
      </c>
      <c r="C98" s="14" t="s">
        <v>356</v>
      </c>
      <c r="D98" s="17" t="s">
        <v>617</v>
      </c>
      <c r="E98" s="4" t="s">
        <v>354</v>
      </c>
      <c r="F98" s="1">
        <v>1017</v>
      </c>
      <c r="G98" s="13">
        <f t="shared" si="1"/>
        <v>12.204000000000001</v>
      </c>
      <c r="H98" s="4"/>
    </row>
    <row r="99" spans="1:8" x14ac:dyDescent="0.35">
      <c r="A99" s="3" t="s">
        <v>228</v>
      </c>
      <c r="B99" s="4" t="s">
        <v>357</v>
      </c>
      <c r="C99" s="19" t="s">
        <v>455</v>
      </c>
      <c r="D99" s="17" t="s">
        <v>617</v>
      </c>
      <c r="E99" s="4" t="s">
        <v>354</v>
      </c>
      <c r="F99" s="1">
        <v>1017</v>
      </c>
      <c r="G99" s="13">
        <f t="shared" si="1"/>
        <v>12.204000000000001</v>
      </c>
      <c r="H99" s="4"/>
    </row>
    <row r="100" spans="1:8" x14ac:dyDescent="0.35">
      <c r="A100" s="3" t="s">
        <v>229</v>
      </c>
      <c r="B100" s="4" t="s">
        <v>339</v>
      </c>
      <c r="C100" s="17" t="s">
        <v>590</v>
      </c>
      <c r="D100" s="17" t="s">
        <v>617</v>
      </c>
      <c r="E100" s="4" t="s">
        <v>354</v>
      </c>
      <c r="F100" s="1">
        <v>509</v>
      </c>
      <c r="G100" s="13">
        <f t="shared" si="1"/>
        <v>6.1080000000000005</v>
      </c>
      <c r="H100" s="4"/>
    </row>
    <row r="101" spans="1:8" x14ac:dyDescent="0.35">
      <c r="A101" s="3" t="s">
        <v>230</v>
      </c>
      <c r="B101" s="4" t="s">
        <v>358</v>
      </c>
      <c r="C101" s="17" t="s">
        <v>453</v>
      </c>
      <c r="D101" s="17" t="s">
        <v>617</v>
      </c>
      <c r="E101" s="4" t="s">
        <v>354</v>
      </c>
      <c r="F101" s="1">
        <v>1017</v>
      </c>
      <c r="G101" s="13">
        <f t="shared" si="1"/>
        <v>12.204000000000001</v>
      </c>
      <c r="H101" s="4"/>
    </row>
    <row r="102" spans="1:8" x14ac:dyDescent="0.35">
      <c r="A102" s="3" t="s">
        <v>231</v>
      </c>
      <c r="B102" s="4" t="s">
        <v>359</v>
      </c>
      <c r="C102" s="17" t="s">
        <v>602</v>
      </c>
      <c r="D102" s="17" t="s">
        <v>617</v>
      </c>
      <c r="E102" s="4" t="s">
        <v>354</v>
      </c>
      <c r="F102" s="1">
        <v>509</v>
      </c>
      <c r="G102" s="13">
        <f t="shared" si="1"/>
        <v>6.1080000000000005</v>
      </c>
      <c r="H102" s="4"/>
    </row>
    <row r="103" spans="1:8" x14ac:dyDescent="0.35">
      <c r="A103" s="3" t="s">
        <v>232</v>
      </c>
      <c r="B103" s="4" t="s">
        <v>360</v>
      </c>
      <c r="C103" s="14" t="s">
        <v>360</v>
      </c>
      <c r="D103" s="17" t="s">
        <v>617</v>
      </c>
      <c r="E103" s="4" t="s">
        <v>354</v>
      </c>
      <c r="F103" s="1">
        <v>509</v>
      </c>
      <c r="G103" s="13">
        <f t="shared" si="1"/>
        <v>6.1080000000000005</v>
      </c>
      <c r="H103" s="4"/>
    </row>
    <row r="104" spans="1:8" x14ac:dyDescent="0.35">
      <c r="A104" s="3" t="s">
        <v>233</v>
      </c>
      <c r="B104" s="4" t="s">
        <v>361</v>
      </c>
      <c r="C104" s="14" t="s">
        <v>361</v>
      </c>
      <c r="D104" s="17" t="s">
        <v>617</v>
      </c>
      <c r="E104" s="4" t="s">
        <v>354</v>
      </c>
      <c r="F104" s="1">
        <v>1000</v>
      </c>
      <c r="G104" s="13">
        <f t="shared" si="1"/>
        <v>12</v>
      </c>
      <c r="H104" s="4"/>
    </row>
    <row r="105" spans="1:8" x14ac:dyDescent="0.35">
      <c r="A105" s="3" t="s">
        <v>234</v>
      </c>
      <c r="B105" s="4" t="s">
        <v>362</v>
      </c>
      <c r="C105" s="14" t="s">
        <v>362</v>
      </c>
      <c r="D105" s="17" t="s">
        <v>617</v>
      </c>
      <c r="E105" s="4" t="s">
        <v>363</v>
      </c>
      <c r="F105" s="1">
        <v>696</v>
      </c>
      <c r="G105" s="13">
        <f t="shared" si="1"/>
        <v>8.3520000000000003</v>
      </c>
      <c r="H105" s="4"/>
    </row>
    <row r="106" spans="1:8" x14ac:dyDescent="0.35">
      <c r="A106" s="3" t="s">
        <v>235</v>
      </c>
      <c r="B106" s="4" t="s">
        <v>364</v>
      </c>
      <c r="C106" s="17" t="s">
        <v>377</v>
      </c>
      <c r="D106" s="17" t="s">
        <v>617</v>
      </c>
      <c r="E106" s="4" t="s">
        <v>363</v>
      </c>
      <c r="F106" s="1">
        <v>1177</v>
      </c>
      <c r="G106" s="13">
        <f t="shared" si="1"/>
        <v>14.124000000000001</v>
      </c>
      <c r="H106" s="4"/>
    </row>
    <row r="107" spans="1:8" x14ac:dyDescent="0.35">
      <c r="A107" s="3" t="s">
        <v>236</v>
      </c>
      <c r="B107" s="4" t="s">
        <v>82</v>
      </c>
      <c r="C107" s="17" t="s">
        <v>336</v>
      </c>
      <c r="D107" s="17" t="s">
        <v>617</v>
      </c>
      <c r="E107" s="4" t="s">
        <v>363</v>
      </c>
      <c r="F107" s="1">
        <v>525</v>
      </c>
      <c r="G107" s="13">
        <f t="shared" si="1"/>
        <v>6.3</v>
      </c>
      <c r="H107" s="4"/>
    </row>
    <row r="108" spans="1:8" x14ac:dyDescent="0.35">
      <c r="A108" s="3" t="s">
        <v>237</v>
      </c>
      <c r="B108" s="4" t="s">
        <v>365</v>
      </c>
      <c r="C108" s="17" t="s">
        <v>336</v>
      </c>
      <c r="D108" s="17" t="s">
        <v>617</v>
      </c>
      <c r="E108" s="4" t="s">
        <v>363</v>
      </c>
      <c r="F108" s="1">
        <v>1047</v>
      </c>
      <c r="G108" s="13">
        <f t="shared" si="1"/>
        <v>12.564</v>
      </c>
      <c r="H108" s="4"/>
    </row>
    <row r="109" spans="1:8" x14ac:dyDescent="0.35">
      <c r="A109" s="3" t="s">
        <v>238</v>
      </c>
      <c r="B109" s="4" t="s">
        <v>366</v>
      </c>
      <c r="C109" s="17" t="s">
        <v>582</v>
      </c>
      <c r="D109" s="17" t="s">
        <v>617</v>
      </c>
      <c r="E109" s="4" t="s">
        <v>367</v>
      </c>
      <c r="F109" s="1">
        <v>1111</v>
      </c>
      <c r="G109" s="13">
        <f t="shared" si="1"/>
        <v>13.332000000000001</v>
      </c>
      <c r="H109" s="4"/>
    </row>
    <row r="110" spans="1:8" x14ac:dyDescent="0.35">
      <c r="A110" s="3" t="s">
        <v>239</v>
      </c>
      <c r="B110" s="4" t="s">
        <v>368</v>
      </c>
      <c r="C110" s="14" t="s">
        <v>368</v>
      </c>
      <c r="D110" s="17" t="s">
        <v>617</v>
      </c>
      <c r="E110" s="4" t="s">
        <v>367</v>
      </c>
      <c r="F110" s="1">
        <v>1099</v>
      </c>
      <c r="G110" s="13">
        <f t="shared" si="1"/>
        <v>13.188000000000001</v>
      </c>
      <c r="H110" s="4"/>
    </row>
    <row r="111" spans="1:8" x14ac:dyDescent="0.35">
      <c r="A111" s="3" t="s">
        <v>240</v>
      </c>
      <c r="B111" s="4" t="s">
        <v>0</v>
      </c>
      <c r="C111" s="17" t="s">
        <v>369</v>
      </c>
      <c r="D111" s="17" t="s">
        <v>617</v>
      </c>
      <c r="E111" s="4" t="s">
        <v>367</v>
      </c>
      <c r="F111" s="1">
        <v>1000</v>
      </c>
      <c r="G111" s="13">
        <f t="shared" si="1"/>
        <v>12</v>
      </c>
      <c r="H111" s="4"/>
    </row>
    <row r="112" spans="1:8" x14ac:dyDescent="0.35">
      <c r="A112" s="3" t="s">
        <v>241</v>
      </c>
      <c r="B112" s="4" t="s">
        <v>370</v>
      </c>
      <c r="C112" s="14" t="s">
        <v>370</v>
      </c>
      <c r="D112" s="17" t="s">
        <v>617</v>
      </c>
      <c r="E112" s="4" t="s">
        <v>367</v>
      </c>
      <c r="F112" s="1">
        <v>500</v>
      </c>
      <c r="G112" s="13">
        <f t="shared" si="1"/>
        <v>6</v>
      </c>
      <c r="H112" s="4"/>
    </row>
    <row r="113" spans="1:8" x14ac:dyDescent="0.35">
      <c r="A113" s="3" t="s">
        <v>242</v>
      </c>
      <c r="B113" s="4" t="s">
        <v>371</v>
      </c>
      <c r="C113" s="14" t="s">
        <v>370</v>
      </c>
      <c r="D113" s="17" t="s">
        <v>617</v>
      </c>
      <c r="E113" s="4" t="s">
        <v>367</v>
      </c>
      <c r="F113" s="1">
        <v>500</v>
      </c>
      <c r="G113" s="13">
        <f t="shared" si="1"/>
        <v>6</v>
      </c>
      <c r="H113" s="4"/>
    </row>
    <row r="114" spans="1:8" x14ac:dyDescent="0.35">
      <c r="A114" s="3" t="s">
        <v>243</v>
      </c>
      <c r="B114" s="4" t="s">
        <v>372</v>
      </c>
      <c r="C114" s="17" t="s">
        <v>603</v>
      </c>
      <c r="D114" s="17" t="s">
        <v>617</v>
      </c>
      <c r="E114" s="4" t="s">
        <v>367</v>
      </c>
      <c r="F114" s="1">
        <v>500</v>
      </c>
      <c r="G114" s="13">
        <f t="shared" si="1"/>
        <v>6</v>
      </c>
      <c r="H114" s="4"/>
    </row>
    <row r="115" spans="1:8" x14ac:dyDescent="0.35">
      <c r="A115" s="3" t="s">
        <v>244</v>
      </c>
      <c r="B115" s="4" t="s">
        <v>373</v>
      </c>
      <c r="C115" s="17" t="s">
        <v>388</v>
      </c>
      <c r="D115" s="17" t="s">
        <v>617</v>
      </c>
      <c r="E115" s="4" t="s">
        <v>367</v>
      </c>
      <c r="F115" s="1">
        <v>1000</v>
      </c>
      <c r="G115" s="13">
        <f t="shared" si="1"/>
        <v>12</v>
      </c>
      <c r="H115" s="4"/>
    </row>
    <row r="116" spans="1:8" x14ac:dyDescent="0.35">
      <c r="A116" s="3" t="s">
        <v>245</v>
      </c>
      <c r="B116" s="4" t="s">
        <v>374</v>
      </c>
      <c r="C116" s="17" t="s">
        <v>327</v>
      </c>
      <c r="D116" s="17" t="s">
        <v>617</v>
      </c>
      <c r="E116" s="4" t="s">
        <v>367</v>
      </c>
      <c r="F116" s="1">
        <v>490</v>
      </c>
      <c r="G116" s="13">
        <f t="shared" si="1"/>
        <v>5.88</v>
      </c>
      <c r="H116" s="4"/>
    </row>
    <row r="117" spans="1:8" x14ac:dyDescent="0.35">
      <c r="A117" s="3" t="s">
        <v>246</v>
      </c>
      <c r="B117" s="4" t="s">
        <v>301</v>
      </c>
      <c r="C117" s="17" t="s">
        <v>590</v>
      </c>
      <c r="D117" s="17" t="s">
        <v>617</v>
      </c>
      <c r="E117" s="4" t="s">
        <v>375</v>
      </c>
      <c r="F117" s="1">
        <v>552</v>
      </c>
      <c r="G117" s="13">
        <f t="shared" si="1"/>
        <v>6.6240000000000006</v>
      </c>
      <c r="H117" s="4"/>
    </row>
    <row r="118" spans="1:8" x14ac:dyDescent="0.35">
      <c r="A118" s="3" t="s">
        <v>247</v>
      </c>
      <c r="B118" s="4" t="s">
        <v>376</v>
      </c>
      <c r="C118" s="14" t="s">
        <v>376</v>
      </c>
      <c r="D118" s="17" t="s">
        <v>617</v>
      </c>
      <c r="E118" s="4" t="s">
        <v>375</v>
      </c>
      <c r="F118" s="1">
        <v>1000</v>
      </c>
      <c r="G118" s="13">
        <f t="shared" si="1"/>
        <v>12</v>
      </c>
      <c r="H118" s="4"/>
    </row>
    <row r="119" spans="1:8" x14ac:dyDescent="0.35">
      <c r="A119" s="3" t="s">
        <v>248</v>
      </c>
      <c r="B119" s="4" t="s">
        <v>293</v>
      </c>
      <c r="C119" s="14" t="s">
        <v>293</v>
      </c>
      <c r="D119" s="17" t="s">
        <v>617</v>
      </c>
      <c r="E119" s="4" t="s">
        <v>375</v>
      </c>
      <c r="F119" s="1">
        <v>500</v>
      </c>
      <c r="G119" s="13">
        <f t="shared" si="1"/>
        <v>6</v>
      </c>
      <c r="H119" s="4"/>
    </row>
    <row r="120" spans="1:8" x14ac:dyDescent="0.35">
      <c r="A120" s="3" t="s">
        <v>249</v>
      </c>
      <c r="B120" s="4" t="s">
        <v>344</v>
      </c>
      <c r="C120" s="14" t="s">
        <v>293</v>
      </c>
      <c r="D120" s="17" t="s">
        <v>617</v>
      </c>
      <c r="E120" s="4" t="s">
        <v>375</v>
      </c>
      <c r="F120" s="1">
        <v>500</v>
      </c>
      <c r="G120" s="13">
        <f t="shared" si="1"/>
        <v>6</v>
      </c>
      <c r="H120" s="4"/>
    </row>
    <row r="121" spans="1:8" x14ac:dyDescent="0.35">
      <c r="A121" s="3" t="s">
        <v>250</v>
      </c>
      <c r="B121" s="4" t="s">
        <v>377</v>
      </c>
      <c r="C121" s="14" t="s">
        <v>377</v>
      </c>
      <c r="D121" s="17" t="s">
        <v>617</v>
      </c>
      <c r="E121" s="4" t="s">
        <v>375</v>
      </c>
      <c r="F121" s="1">
        <v>500</v>
      </c>
      <c r="G121" s="13">
        <f t="shared" si="1"/>
        <v>6</v>
      </c>
      <c r="H121" s="4"/>
    </row>
    <row r="122" spans="1:8" x14ac:dyDescent="0.35">
      <c r="A122" s="3" t="s">
        <v>251</v>
      </c>
      <c r="B122" s="4" t="s">
        <v>378</v>
      </c>
      <c r="C122" s="14" t="s">
        <v>378</v>
      </c>
      <c r="D122" s="17" t="s">
        <v>617</v>
      </c>
      <c r="E122" s="4" t="s">
        <v>375</v>
      </c>
      <c r="F122" s="1">
        <v>1000</v>
      </c>
      <c r="G122" s="13">
        <f t="shared" si="1"/>
        <v>12</v>
      </c>
      <c r="H122" s="4"/>
    </row>
    <row r="123" spans="1:8" x14ac:dyDescent="0.35">
      <c r="A123" s="3" t="s">
        <v>252</v>
      </c>
      <c r="B123" s="4" t="s">
        <v>379</v>
      </c>
      <c r="C123" s="17" t="s">
        <v>269</v>
      </c>
      <c r="D123" s="17" t="s">
        <v>617</v>
      </c>
      <c r="E123" s="4" t="s">
        <v>375</v>
      </c>
      <c r="F123" s="1">
        <v>1000</v>
      </c>
      <c r="G123" s="13">
        <f t="shared" si="1"/>
        <v>12</v>
      </c>
      <c r="H123" s="4"/>
    </row>
    <row r="124" spans="1:8" x14ac:dyDescent="0.35">
      <c r="A124" s="3" t="s">
        <v>253</v>
      </c>
      <c r="B124" s="4" t="s">
        <v>380</v>
      </c>
      <c r="C124" s="17" t="s">
        <v>604</v>
      </c>
      <c r="D124" s="17" t="s">
        <v>617</v>
      </c>
      <c r="E124" s="4" t="s">
        <v>375</v>
      </c>
      <c r="F124" s="1">
        <v>1000</v>
      </c>
      <c r="G124" s="13">
        <f t="shared" si="1"/>
        <v>12</v>
      </c>
      <c r="H124" s="4"/>
    </row>
    <row r="125" spans="1:8" x14ac:dyDescent="0.35">
      <c r="A125" s="3" t="s">
        <v>254</v>
      </c>
      <c r="B125" s="4" t="s">
        <v>381</v>
      </c>
      <c r="C125" s="14" t="s">
        <v>381</v>
      </c>
      <c r="D125" s="17" t="s">
        <v>617</v>
      </c>
      <c r="E125" s="4" t="s">
        <v>375</v>
      </c>
      <c r="F125" s="1">
        <v>1000</v>
      </c>
      <c r="G125" s="13">
        <f t="shared" si="1"/>
        <v>12</v>
      </c>
      <c r="H125" s="4"/>
    </row>
    <row r="126" spans="1:8" x14ac:dyDescent="0.35">
      <c r="A126" s="3" t="s">
        <v>255</v>
      </c>
      <c r="B126" s="4" t="s">
        <v>382</v>
      </c>
      <c r="C126" s="24" t="s">
        <v>605</v>
      </c>
      <c r="D126" s="17" t="s">
        <v>617</v>
      </c>
      <c r="E126" s="4" t="s">
        <v>375</v>
      </c>
      <c r="F126" s="1">
        <v>853</v>
      </c>
      <c r="G126" s="13">
        <f t="shared" si="1"/>
        <v>10.236000000000001</v>
      </c>
      <c r="H126" s="4">
        <v>13</v>
      </c>
    </row>
    <row r="127" spans="1:8" x14ac:dyDescent="0.35">
      <c r="A127" s="3" t="s">
        <v>256</v>
      </c>
      <c r="B127" s="4" t="s">
        <v>383</v>
      </c>
      <c r="C127" s="14" t="s">
        <v>383</v>
      </c>
      <c r="D127" s="17" t="s">
        <v>617</v>
      </c>
      <c r="E127" s="4" t="s">
        <v>384</v>
      </c>
      <c r="F127" s="1">
        <v>500</v>
      </c>
      <c r="G127" s="13">
        <f t="shared" si="1"/>
        <v>6</v>
      </c>
      <c r="H127" s="4"/>
    </row>
    <row r="128" spans="1:8" x14ac:dyDescent="0.35">
      <c r="A128" s="3" t="s">
        <v>257</v>
      </c>
      <c r="B128" s="4" t="s">
        <v>269</v>
      </c>
      <c r="C128" s="14" t="s">
        <v>269</v>
      </c>
      <c r="D128" s="17" t="s">
        <v>617</v>
      </c>
      <c r="E128" s="4" t="s">
        <v>384</v>
      </c>
      <c r="F128" s="1">
        <v>500</v>
      </c>
      <c r="G128" s="13">
        <f t="shared" si="1"/>
        <v>6</v>
      </c>
      <c r="H128" s="4"/>
    </row>
    <row r="129" spans="1:8" x14ac:dyDescent="0.35">
      <c r="A129" s="3" t="s">
        <v>258</v>
      </c>
      <c r="B129" s="4" t="s">
        <v>385</v>
      </c>
      <c r="C129" s="17" t="s">
        <v>536</v>
      </c>
      <c r="D129" s="17" t="s">
        <v>617</v>
      </c>
      <c r="E129" s="4" t="s">
        <v>384</v>
      </c>
      <c r="F129" s="1">
        <v>1254</v>
      </c>
      <c r="G129" s="13">
        <f t="shared" si="1"/>
        <v>15.048</v>
      </c>
      <c r="H129" s="4"/>
    </row>
    <row r="130" spans="1:8" x14ac:dyDescent="0.35">
      <c r="A130" s="3" t="s">
        <v>259</v>
      </c>
      <c r="B130" s="4" t="s">
        <v>477</v>
      </c>
      <c r="C130" s="17" t="s">
        <v>388</v>
      </c>
      <c r="D130" s="17" t="s">
        <v>617</v>
      </c>
      <c r="E130" s="4" t="s">
        <v>384</v>
      </c>
      <c r="F130" s="1">
        <v>501</v>
      </c>
      <c r="G130" s="13">
        <f t="shared" si="1"/>
        <v>6.0120000000000005</v>
      </c>
      <c r="H130" s="4"/>
    </row>
    <row r="131" spans="1:8" x14ac:dyDescent="0.35">
      <c r="A131" s="3" t="s">
        <v>260</v>
      </c>
      <c r="B131" s="4" t="s">
        <v>386</v>
      </c>
      <c r="C131" s="17" t="s">
        <v>388</v>
      </c>
      <c r="D131" s="17" t="s">
        <v>617</v>
      </c>
      <c r="E131" s="4" t="s">
        <v>384</v>
      </c>
      <c r="F131" s="1">
        <v>505</v>
      </c>
      <c r="G131" s="13">
        <f t="shared" si="1"/>
        <v>6.0600000000000005</v>
      </c>
      <c r="H131" s="4"/>
    </row>
    <row r="132" spans="1:8" x14ac:dyDescent="0.35">
      <c r="A132" s="3" t="s">
        <v>260</v>
      </c>
      <c r="B132" s="4" t="s">
        <v>386</v>
      </c>
      <c r="C132" s="17" t="s">
        <v>585</v>
      </c>
      <c r="D132" s="17" t="s">
        <v>617</v>
      </c>
      <c r="E132" s="4" t="s">
        <v>384</v>
      </c>
      <c r="F132" s="1">
        <v>500</v>
      </c>
      <c r="G132" s="13">
        <f t="shared" si="1"/>
        <v>6</v>
      </c>
      <c r="H132" s="4"/>
    </row>
    <row r="133" spans="1:8" x14ac:dyDescent="0.35">
      <c r="A133" s="3" t="s">
        <v>261</v>
      </c>
      <c r="B133" s="4" t="s">
        <v>353</v>
      </c>
      <c r="C133" s="14" t="s">
        <v>353</v>
      </c>
      <c r="D133" s="17" t="s">
        <v>617</v>
      </c>
      <c r="E133" s="4" t="s">
        <v>384</v>
      </c>
      <c r="F133" s="1">
        <v>1003</v>
      </c>
      <c r="G133" s="13">
        <f t="shared" si="1"/>
        <v>12.036</v>
      </c>
      <c r="H133" s="4"/>
    </row>
    <row r="134" spans="1:8" x14ac:dyDescent="0.35">
      <c r="A134" s="3" t="s">
        <v>262</v>
      </c>
      <c r="B134" s="4" t="s">
        <v>387</v>
      </c>
      <c r="C134" s="17" t="s">
        <v>606</v>
      </c>
      <c r="D134" s="17" t="s">
        <v>617</v>
      </c>
      <c r="E134" s="4" t="s">
        <v>384</v>
      </c>
      <c r="F134" s="1">
        <v>501</v>
      </c>
      <c r="G134" s="13">
        <f t="shared" ref="G134:G139" si="2">(6/500)*F134</f>
        <v>6.0120000000000005</v>
      </c>
      <c r="H134" s="4"/>
    </row>
    <row r="135" spans="1:8" x14ac:dyDescent="0.35">
      <c r="A135" s="3" t="s">
        <v>263</v>
      </c>
      <c r="B135" s="4" t="s">
        <v>388</v>
      </c>
      <c r="C135" s="14" t="s">
        <v>388</v>
      </c>
      <c r="D135" s="17" t="s">
        <v>617</v>
      </c>
      <c r="E135" s="4" t="s">
        <v>384</v>
      </c>
      <c r="F135" s="1">
        <v>1003</v>
      </c>
      <c r="G135" s="13">
        <f t="shared" si="2"/>
        <v>12.036</v>
      </c>
      <c r="H135" s="4"/>
    </row>
    <row r="136" spans="1:8" x14ac:dyDescent="0.35">
      <c r="A136" s="3" t="s">
        <v>264</v>
      </c>
      <c r="B136" s="4" t="s">
        <v>389</v>
      </c>
      <c r="C136" s="17" t="s">
        <v>589</v>
      </c>
      <c r="D136" s="17" t="s">
        <v>617</v>
      </c>
      <c r="E136" s="4" t="s">
        <v>384</v>
      </c>
      <c r="F136" s="1">
        <v>501</v>
      </c>
      <c r="G136" s="13">
        <f t="shared" si="2"/>
        <v>6.0120000000000005</v>
      </c>
      <c r="H136" s="4"/>
    </row>
    <row r="137" spans="1:8" x14ac:dyDescent="0.35">
      <c r="A137" s="3" t="s">
        <v>265</v>
      </c>
      <c r="B137" s="4" t="s">
        <v>444</v>
      </c>
      <c r="C137" s="14" t="s">
        <v>353</v>
      </c>
      <c r="D137" s="17" t="s">
        <v>617</v>
      </c>
      <c r="E137" s="4" t="s">
        <v>384</v>
      </c>
      <c r="F137" s="1">
        <v>1117</v>
      </c>
      <c r="G137" s="13">
        <f t="shared" si="2"/>
        <v>13.404</v>
      </c>
      <c r="H137" s="4"/>
    </row>
    <row r="138" spans="1:8" x14ac:dyDescent="0.35">
      <c r="A138" s="3" t="s">
        <v>266</v>
      </c>
      <c r="B138" s="4" t="s">
        <v>369</v>
      </c>
      <c r="C138" s="18"/>
      <c r="D138" s="17" t="s">
        <v>617</v>
      </c>
      <c r="E138" s="4" t="s">
        <v>446</v>
      </c>
      <c r="F138" s="1">
        <v>1200</v>
      </c>
      <c r="G138" s="13">
        <f t="shared" si="2"/>
        <v>14.4</v>
      </c>
      <c r="H138" s="4"/>
    </row>
    <row r="139" spans="1:8" x14ac:dyDescent="0.35">
      <c r="A139" s="3" t="s">
        <v>267</v>
      </c>
      <c r="B139" s="4" t="s">
        <v>607</v>
      </c>
      <c r="C139" s="14" t="s">
        <v>607</v>
      </c>
      <c r="D139" s="17" t="s">
        <v>617</v>
      </c>
      <c r="E139" s="4" t="s">
        <v>608</v>
      </c>
      <c r="F139" s="1">
        <v>500</v>
      </c>
      <c r="G139" s="13">
        <f t="shared" si="2"/>
        <v>6</v>
      </c>
      <c r="H139" s="4"/>
    </row>
    <row r="140" spans="1:8" s="12" customFormat="1" x14ac:dyDescent="0.35">
      <c r="A140" s="2"/>
      <c r="B140" s="34" t="s">
        <v>268</v>
      </c>
      <c r="C140" s="35"/>
      <c r="D140" s="32"/>
      <c r="E140" s="2"/>
      <c r="F140" s="7">
        <f>SUM(F5:F139)</f>
        <v>100524</v>
      </c>
      <c r="G140" s="7">
        <f>SUM(G5:G139)</f>
        <v>1206.2879999999998</v>
      </c>
      <c r="H140" s="2"/>
    </row>
    <row r="142" spans="1:8" x14ac:dyDescent="0.35">
      <c r="B142" s="33" t="s">
        <v>438</v>
      </c>
      <c r="C142" s="33"/>
      <c r="D142" s="31"/>
      <c r="F142" s="33" t="s">
        <v>439</v>
      </c>
      <c r="G142" s="33"/>
      <c r="H142" s="33"/>
    </row>
  </sheetData>
  <autoFilter ref="A4:H140" xr:uid="{14BF25B4-0F83-41FC-A006-2D4738DFC887}"/>
  <mergeCells count="4">
    <mergeCell ref="B142:C142"/>
    <mergeCell ref="A1:H1"/>
    <mergeCell ref="B140:C140"/>
    <mergeCell ref="F142:H142"/>
  </mergeCells>
  <phoneticPr fontId="2" type="noConversion"/>
  <pageMargins left="0.7" right="0.7" top="0.75" bottom="0.75" header="0.3" footer="0.3"/>
  <pageSetup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87B9-D396-42F5-9CAF-EA905E03FC48}">
  <dimension ref="A1:J125"/>
  <sheetViews>
    <sheetView topLeftCell="A104" workbookViewId="0">
      <selection activeCell="D61" sqref="D61:D122"/>
    </sheetView>
  </sheetViews>
  <sheetFormatPr defaultColWidth="9.1796875" defaultRowHeight="16.5" x14ac:dyDescent="0.35"/>
  <cols>
    <col min="1" max="1" width="5.453125" style="6" bestFit="1" customWidth="1"/>
    <col min="2" max="2" width="23.453125" style="6" bestFit="1" customWidth="1"/>
    <col min="3" max="4" width="26.453125" style="6" customWidth="1"/>
    <col min="5" max="5" width="8.26953125" style="6" bestFit="1" customWidth="1"/>
    <col min="6" max="6" width="12.54296875" style="8" customWidth="1"/>
    <col min="7" max="7" width="10.453125" style="6" customWidth="1"/>
    <col min="8" max="8" width="9.81640625" style="6" customWidth="1"/>
    <col min="9" max="9" width="13.1796875" style="6" customWidth="1"/>
    <col min="10" max="10" width="17.26953125" style="6" customWidth="1"/>
    <col min="11" max="16384" width="9.1796875" style="6"/>
  </cols>
  <sheetData>
    <row r="1" spans="1:10" x14ac:dyDescent="0.35">
      <c r="A1" s="33" t="s">
        <v>611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ht="33" x14ac:dyDescent="0.35">
      <c r="A3" s="9" t="s">
        <v>64</v>
      </c>
      <c r="B3" s="9" t="s">
        <v>433</v>
      </c>
      <c r="C3" s="9" t="s">
        <v>434</v>
      </c>
      <c r="D3" s="9" t="s">
        <v>615</v>
      </c>
      <c r="E3" s="9" t="s">
        <v>435</v>
      </c>
      <c r="F3" s="10" t="s">
        <v>447</v>
      </c>
      <c r="G3" s="11" t="s">
        <v>469</v>
      </c>
      <c r="H3" s="11" t="s">
        <v>470</v>
      </c>
      <c r="I3" s="9" t="s">
        <v>445</v>
      </c>
      <c r="J3" s="9" t="s">
        <v>436</v>
      </c>
    </row>
    <row r="4" spans="1:10" x14ac:dyDescent="0.35">
      <c r="A4" s="9">
        <v>1</v>
      </c>
      <c r="B4" s="9">
        <v>2</v>
      </c>
      <c r="C4" s="9">
        <v>3</v>
      </c>
      <c r="D4" s="9"/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</row>
    <row r="5" spans="1:10" x14ac:dyDescent="0.35">
      <c r="A5" s="3" t="s">
        <v>135</v>
      </c>
      <c r="B5" s="4" t="s">
        <v>360</v>
      </c>
      <c r="C5" s="17" t="s">
        <v>2</v>
      </c>
      <c r="D5" s="17" t="s">
        <v>466</v>
      </c>
      <c r="E5" s="4" t="s">
        <v>466</v>
      </c>
      <c r="F5" s="1">
        <f>750+150</f>
        <v>900</v>
      </c>
      <c r="G5" s="13">
        <f>(6/500)*F5</f>
        <v>10.8</v>
      </c>
      <c r="H5" s="4"/>
      <c r="I5" s="4"/>
      <c r="J5" s="4"/>
    </row>
    <row r="6" spans="1:10" x14ac:dyDescent="0.35">
      <c r="A6" s="3" t="s">
        <v>136</v>
      </c>
      <c r="B6" s="4" t="s">
        <v>323</v>
      </c>
      <c r="C6" s="5"/>
      <c r="D6" s="17" t="s">
        <v>466</v>
      </c>
      <c r="E6" s="4" t="s">
        <v>466</v>
      </c>
      <c r="F6" s="1">
        <v>460</v>
      </c>
      <c r="G6" s="13">
        <f t="shared" ref="G6:G69" si="0">(6/500)*F6</f>
        <v>5.5200000000000005</v>
      </c>
      <c r="H6" s="4"/>
      <c r="I6" s="4"/>
      <c r="J6" s="4"/>
    </row>
    <row r="7" spans="1:10" x14ac:dyDescent="0.35">
      <c r="A7" s="3" t="s">
        <v>137</v>
      </c>
      <c r="B7" s="4" t="s">
        <v>294</v>
      </c>
      <c r="C7" s="5"/>
      <c r="D7" s="17" t="s">
        <v>466</v>
      </c>
      <c r="E7" s="4" t="s">
        <v>466</v>
      </c>
      <c r="F7" s="1">
        <v>500</v>
      </c>
      <c r="G7" s="13">
        <f t="shared" si="0"/>
        <v>6</v>
      </c>
      <c r="H7" s="4"/>
      <c r="I7" s="4"/>
      <c r="J7" s="4"/>
    </row>
    <row r="8" spans="1:10" x14ac:dyDescent="0.35">
      <c r="A8" s="3" t="s">
        <v>138</v>
      </c>
      <c r="B8" s="4" t="s">
        <v>448</v>
      </c>
      <c r="C8" s="5"/>
      <c r="D8" s="17" t="s">
        <v>466</v>
      </c>
      <c r="E8" s="4" t="s">
        <v>466</v>
      </c>
      <c r="F8" s="1">
        <v>233</v>
      </c>
      <c r="G8" s="13">
        <f t="shared" si="0"/>
        <v>2.7960000000000003</v>
      </c>
      <c r="H8" s="4"/>
      <c r="I8" s="4"/>
      <c r="J8" s="4"/>
    </row>
    <row r="9" spans="1:10" x14ac:dyDescent="0.35">
      <c r="A9" s="3" t="s">
        <v>139</v>
      </c>
      <c r="B9" s="4" t="s">
        <v>449</v>
      </c>
      <c r="C9" s="5"/>
      <c r="D9" s="17" t="s">
        <v>466</v>
      </c>
      <c r="E9" s="4" t="s">
        <v>466</v>
      </c>
      <c r="F9" s="1">
        <v>447</v>
      </c>
      <c r="G9" s="13">
        <f t="shared" si="0"/>
        <v>5.3639999999999999</v>
      </c>
      <c r="H9" s="4"/>
      <c r="I9" s="4"/>
      <c r="J9" s="4"/>
    </row>
    <row r="10" spans="1:10" x14ac:dyDescent="0.35">
      <c r="A10" s="3" t="s">
        <v>140</v>
      </c>
      <c r="B10" s="4" t="s">
        <v>450</v>
      </c>
      <c r="C10" s="5"/>
      <c r="D10" s="17" t="s">
        <v>466</v>
      </c>
      <c r="E10" s="4" t="s">
        <v>466</v>
      </c>
      <c r="F10" s="1">
        <v>520</v>
      </c>
      <c r="G10" s="13">
        <f t="shared" si="0"/>
        <v>6.24</v>
      </c>
      <c r="H10" s="4"/>
      <c r="I10" s="4"/>
      <c r="J10" s="4"/>
    </row>
    <row r="11" spans="1:10" x14ac:dyDescent="0.35">
      <c r="A11" s="3" t="s">
        <v>141</v>
      </c>
      <c r="B11" s="4" t="s">
        <v>451</v>
      </c>
      <c r="C11" s="5"/>
      <c r="D11" s="17" t="s">
        <v>466</v>
      </c>
      <c r="E11" s="4" t="s">
        <v>466</v>
      </c>
      <c r="F11" s="1">
        <v>650</v>
      </c>
      <c r="G11" s="13">
        <f t="shared" si="0"/>
        <v>7.8</v>
      </c>
      <c r="H11" s="4"/>
      <c r="I11" s="4"/>
      <c r="J11" s="4"/>
    </row>
    <row r="12" spans="1:10" x14ac:dyDescent="0.35">
      <c r="A12" s="3" t="s">
        <v>142</v>
      </c>
      <c r="B12" s="4" t="s">
        <v>322</v>
      </c>
      <c r="C12" s="5"/>
      <c r="D12" s="17" t="s">
        <v>466</v>
      </c>
      <c r="E12" s="4" t="s">
        <v>466</v>
      </c>
      <c r="F12" s="1">
        <f>320+330</f>
        <v>650</v>
      </c>
      <c r="G12" s="13">
        <f t="shared" si="0"/>
        <v>7.8</v>
      </c>
      <c r="H12" s="4"/>
      <c r="I12" s="4"/>
      <c r="J12" s="4"/>
    </row>
    <row r="13" spans="1:10" x14ac:dyDescent="0.35">
      <c r="A13" s="3" t="s">
        <v>143</v>
      </c>
      <c r="B13" s="4" t="s">
        <v>307</v>
      </c>
      <c r="C13" s="5"/>
      <c r="D13" s="17" t="s">
        <v>466</v>
      </c>
      <c r="E13" s="4" t="s">
        <v>466</v>
      </c>
      <c r="F13" s="1">
        <v>1050</v>
      </c>
      <c r="G13" s="13">
        <f t="shared" si="0"/>
        <v>12.6</v>
      </c>
      <c r="H13" s="4"/>
      <c r="I13" s="4"/>
      <c r="J13" s="4"/>
    </row>
    <row r="14" spans="1:10" x14ac:dyDescent="0.35">
      <c r="A14" s="3" t="s">
        <v>134</v>
      </c>
      <c r="B14" s="4" t="s">
        <v>359</v>
      </c>
      <c r="C14" s="5"/>
      <c r="D14" s="17" t="s">
        <v>466</v>
      </c>
      <c r="E14" s="4" t="s">
        <v>466</v>
      </c>
      <c r="F14" s="1">
        <v>550</v>
      </c>
      <c r="G14" s="13">
        <f t="shared" si="0"/>
        <v>6.6000000000000005</v>
      </c>
      <c r="H14" s="4"/>
      <c r="I14" s="4"/>
      <c r="J14" s="4"/>
    </row>
    <row r="15" spans="1:10" x14ac:dyDescent="0.35">
      <c r="A15" s="3" t="s">
        <v>144</v>
      </c>
      <c r="B15" s="4" t="s">
        <v>313</v>
      </c>
      <c r="C15" s="5"/>
      <c r="D15" s="17" t="s">
        <v>466</v>
      </c>
      <c r="E15" s="4" t="s">
        <v>466</v>
      </c>
      <c r="F15" s="1">
        <v>330</v>
      </c>
      <c r="G15" s="13">
        <f t="shared" si="0"/>
        <v>3.96</v>
      </c>
      <c r="H15" s="4"/>
      <c r="I15" s="4"/>
      <c r="J15" s="4"/>
    </row>
    <row r="16" spans="1:10" x14ac:dyDescent="0.35">
      <c r="A16" s="3" t="s">
        <v>145</v>
      </c>
      <c r="B16" s="4" t="s">
        <v>346</v>
      </c>
      <c r="C16" s="5"/>
      <c r="D16" s="17" t="s">
        <v>466</v>
      </c>
      <c r="E16" s="4" t="s">
        <v>466</v>
      </c>
      <c r="F16" s="1">
        <f>250+250</f>
        <v>500</v>
      </c>
      <c r="G16" s="13">
        <f t="shared" si="0"/>
        <v>6</v>
      </c>
      <c r="H16" s="4"/>
      <c r="I16" s="4"/>
      <c r="J16" s="4"/>
    </row>
    <row r="17" spans="1:10" x14ac:dyDescent="0.35">
      <c r="A17" s="3" t="s">
        <v>146</v>
      </c>
      <c r="B17" s="4" t="s">
        <v>306</v>
      </c>
      <c r="C17" s="5"/>
      <c r="D17" s="17" t="s">
        <v>466</v>
      </c>
      <c r="E17" s="4" t="s">
        <v>466</v>
      </c>
      <c r="F17" s="1">
        <v>500</v>
      </c>
      <c r="G17" s="13">
        <f t="shared" si="0"/>
        <v>6</v>
      </c>
      <c r="H17" s="4"/>
      <c r="I17" s="4"/>
      <c r="J17" s="4"/>
    </row>
    <row r="18" spans="1:10" x14ac:dyDescent="0.35">
      <c r="A18" s="3" t="s">
        <v>147</v>
      </c>
      <c r="B18" s="4" t="s">
        <v>341</v>
      </c>
      <c r="C18" s="5"/>
      <c r="D18" s="17" t="s">
        <v>466</v>
      </c>
      <c r="E18" s="4" t="s">
        <v>466</v>
      </c>
      <c r="F18" s="1">
        <v>500</v>
      </c>
      <c r="G18" s="13">
        <f t="shared" si="0"/>
        <v>6</v>
      </c>
      <c r="H18" s="4"/>
      <c r="I18" s="4"/>
      <c r="J18" s="4"/>
    </row>
    <row r="19" spans="1:10" x14ac:dyDescent="0.35">
      <c r="A19" s="3" t="s">
        <v>148</v>
      </c>
      <c r="B19" s="4" t="s">
        <v>452</v>
      </c>
      <c r="C19" s="5"/>
      <c r="D19" s="17" t="s">
        <v>466</v>
      </c>
      <c r="E19" s="4" t="s">
        <v>466</v>
      </c>
      <c r="F19" s="1">
        <v>430</v>
      </c>
      <c r="G19" s="13">
        <f t="shared" si="0"/>
        <v>5.16</v>
      </c>
      <c r="H19" s="4"/>
      <c r="I19" s="4"/>
      <c r="J19" s="4"/>
    </row>
    <row r="20" spans="1:10" x14ac:dyDescent="0.35">
      <c r="A20" s="3" t="s">
        <v>149</v>
      </c>
      <c r="B20" s="4" t="s">
        <v>284</v>
      </c>
      <c r="C20" s="5"/>
      <c r="D20" s="17" t="s">
        <v>466</v>
      </c>
      <c r="E20" s="4" t="s">
        <v>466</v>
      </c>
      <c r="F20" s="1">
        <v>150</v>
      </c>
      <c r="G20" s="13">
        <f t="shared" si="0"/>
        <v>1.8</v>
      </c>
      <c r="H20" s="4"/>
      <c r="I20" s="4"/>
      <c r="J20" s="4"/>
    </row>
    <row r="21" spans="1:10" x14ac:dyDescent="0.35">
      <c r="A21" s="3" t="s">
        <v>150</v>
      </c>
      <c r="B21" s="4" t="s">
        <v>299</v>
      </c>
      <c r="C21" s="5"/>
      <c r="D21" s="17" t="s">
        <v>466</v>
      </c>
      <c r="E21" s="4" t="s">
        <v>466</v>
      </c>
      <c r="F21" s="1">
        <v>585</v>
      </c>
      <c r="G21" s="13">
        <f t="shared" si="0"/>
        <v>7.0200000000000005</v>
      </c>
      <c r="H21" s="4"/>
      <c r="I21" s="4"/>
      <c r="J21" s="4"/>
    </row>
    <row r="22" spans="1:10" x14ac:dyDescent="0.35">
      <c r="A22" s="3" t="s">
        <v>151</v>
      </c>
      <c r="B22" s="4" t="s">
        <v>82</v>
      </c>
      <c r="C22" s="17" t="s">
        <v>2</v>
      </c>
      <c r="D22" s="17" t="s">
        <v>466</v>
      </c>
      <c r="E22" s="4" t="s">
        <v>466</v>
      </c>
      <c r="F22" s="1">
        <v>400</v>
      </c>
      <c r="G22" s="13">
        <f t="shared" si="0"/>
        <v>4.8</v>
      </c>
      <c r="H22" s="4"/>
      <c r="I22" s="4"/>
      <c r="J22" s="4"/>
    </row>
    <row r="23" spans="1:10" x14ac:dyDescent="0.35">
      <c r="A23" s="3" t="s">
        <v>152</v>
      </c>
      <c r="B23" s="4" t="s">
        <v>300</v>
      </c>
      <c r="C23" s="17" t="s">
        <v>2</v>
      </c>
      <c r="D23" s="17" t="s">
        <v>466</v>
      </c>
      <c r="E23" s="4" t="s">
        <v>466</v>
      </c>
      <c r="F23" s="1">
        <v>300</v>
      </c>
      <c r="G23" s="13">
        <f t="shared" si="0"/>
        <v>3.6</v>
      </c>
      <c r="H23" s="4"/>
      <c r="I23" s="4"/>
      <c r="J23" s="4"/>
    </row>
    <row r="24" spans="1:10" x14ac:dyDescent="0.35">
      <c r="A24" s="3" t="s">
        <v>153</v>
      </c>
      <c r="B24" s="4" t="s">
        <v>299</v>
      </c>
      <c r="C24" s="17" t="s">
        <v>2</v>
      </c>
      <c r="D24" s="17" t="s">
        <v>466</v>
      </c>
      <c r="E24" s="4" t="s">
        <v>466</v>
      </c>
      <c r="F24" s="1">
        <v>700</v>
      </c>
      <c r="G24" s="13">
        <f t="shared" si="0"/>
        <v>8.4</v>
      </c>
      <c r="H24" s="4"/>
      <c r="I24" s="4"/>
      <c r="J24" s="4"/>
    </row>
    <row r="25" spans="1:10" x14ac:dyDescent="0.35">
      <c r="A25" s="3" t="s">
        <v>154</v>
      </c>
      <c r="B25" s="4" t="s">
        <v>273</v>
      </c>
      <c r="C25" s="5"/>
      <c r="D25" s="17" t="s">
        <v>466</v>
      </c>
      <c r="E25" s="4" t="s">
        <v>466</v>
      </c>
      <c r="F25" s="1">
        <v>1052</v>
      </c>
      <c r="G25" s="13">
        <f t="shared" si="0"/>
        <v>12.624000000000001</v>
      </c>
      <c r="H25" s="4"/>
      <c r="I25" s="4"/>
      <c r="J25" s="4"/>
    </row>
    <row r="26" spans="1:10" x14ac:dyDescent="0.35">
      <c r="A26" s="3" t="s">
        <v>155</v>
      </c>
      <c r="B26" s="4" t="s">
        <v>366</v>
      </c>
      <c r="C26" s="17" t="s">
        <v>582</v>
      </c>
      <c r="D26" s="17" t="s">
        <v>466</v>
      </c>
      <c r="E26" s="4" t="s">
        <v>466</v>
      </c>
      <c r="F26" s="1">
        <v>1065</v>
      </c>
      <c r="G26" s="13">
        <f t="shared" si="0"/>
        <v>12.780000000000001</v>
      </c>
      <c r="H26" s="4"/>
      <c r="I26" s="4"/>
      <c r="J26" s="4"/>
    </row>
    <row r="27" spans="1:10" x14ac:dyDescent="0.35">
      <c r="A27" s="3" t="s">
        <v>156</v>
      </c>
      <c r="B27" s="4" t="s">
        <v>366</v>
      </c>
      <c r="C27" s="17" t="s">
        <v>582</v>
      </c>
      <c r="D27" s="17" t="s">
        <v>466</v>
      </c>
      <c r="E27" s="4" t="s">
        <v>466</v>
      </c>
      <c r="F27" s="1">
        <v>250</v>
      </c>
      <c r="G27" s="13">
        <f t="shared" si="0"/>
        <v>3</v>
      </c>
      <c r="H27" s="4"/>
      <c r="I27" s="4"/>
      <c r="J27" s="4"/>
    </row>
    <row r="28" spans="1:10" x14ac:dyDescent="0.35">
      <c r="A28" s="3" t="s">
        <v>157</v>
      </c>
      <c r="B28" s="4" t="s">
        <v>310</v>
      </c>
      <c r="C28" s="5"/>
      <c r="D28" s="17" t="s">
        <v>466</v>
      </c>
      <c r="E28" s="4" t="s">
        <v>466</v>
      </c>
      <c r="F28" s="1">
        <v>210</v>
      </c>
      <c r="G28" s="13">
        <f t="shared" si="0"/>
        <v>2.52</v>
      </c>
      <c r="H28" s="4"/>
      <c r="I28" s="4"/>
      <c r="J28" s="4"/>
    </row>
    <row r="29" spans="1:10" x14ac:dyDescent="0.35">
      <c r="A29" s="3" t="s">
        <v>158</v>
      </c>
      <c r="B29" s="4" t="s">
        <v>310</v>
      </c>
      <c r="C29" s="17" t="s">
        <v>2</v>
      </c>
      <c r="D29" s="17" t="s">
        <v>466</v>
      </c>
      <c r="E29" s="4" t="s">
        <v>466</v>
      </c>
      <c r="F29" s="1">
        <v>1000</v>
      </c>
      <c r="G29" s="13">
        <f t="shared" si="0"/>
        <v>12</v>
      </c>
      <c r="H29" s="4"/>
      <c r="I29" s="4"/>
      <c r="J29" s="4"/>
    </row>
    <row r="30" spans="1:10" x14ac:dyDescent="0.35">
      <c r="A30" s="3" t="s">
        <v>159</v>
      </c>
      <c r="B30" s="4" t="s">
        <v>323</v>
      </c>
      <c r="C30" s="17" t="s">
        <v>2</v>
      </c>
      <c r="D30" s="17" t="s">
        <v>466</v>
      </c>
      <c r="E30" s="4" t="s">
        <v>466</v>
      </c>
      <c r="F30" s="1">
        <v>200</v>
      </c>
      <c r="G30" s="13">
        <f t="shared" si="0"/>
        <v>2.4</v>
      </c>
      <c r="H30" s="4"/>
      <c r="I30" s="4"/>
      <c r="J30" s="4"/>
    </row>
    <row r="31" spans="1:10" x14ac:dyDescent="0.35">
      <c r="A31" s="3" t="s">
        <v>160</v>
      </c>
      <c r="B31" s="4" t="s">
        <v>313</v>
      </c>
      <c r="C31" s="5"/>
      <c r="D31" s="17" t="s">
        <v>466</v>
      </c>
      <c r="E31" s="4" t="s">
        <v>466</v>
      </c>
      <c r="F31" s="1">
        <v>490</v>
      </c>
      <c r="G31" s="13">
        <f t="shared" si="0"/>
        <v>5.88</v>
      </c>
      <c r="H31" s="4"/>
      <c r="I31" s="4"/>
      <c r="J31" s="4"/>
    </row>
    <row r="32" spans="1:10" x14ac:dyDescent="0.35">
      <c r="A32" s="3" t="s">
        <v>161</v>
      </c>
      <c r="B32" s="4" t="s">
        <v>282</v>
      </c>
      <c r="C32" s="14" t="s">
        <v>282</v>
      </c>
      <c r="D32" s="17" t="s">
        <v>466</v>
      </c>
      <c r="E32" s="4" t="s">
        <v>466</v>
      </c>
      <c r="F32" s="1">
        <v>515</v>
      </c>
      <c r="G32" s="13">
        <f t="shared" si="0"/>
        <v>6.18</v>
      </c>
      <c r="H32" s="4"/>
      <c r="I32" s="4"/>
      <c r="J32" s="4"/>
    </row>
    <row r="33" spans="1:10" x14ac:dyDescent="0.35">
      <c r="A33" s="3" t="s">
        <v>162</v>
      </c>
      <c r="B33" s="4" t="s">
        <v>337</v>
      </c>
      <c r="C33" s="14" t="s">
        <v>282</v>
      </c>
      <c r="D33" s="17" t="s">
        <v>466</v>
      </c>
      <c r="E33" s="4" t="s">
        <v>466</v>
      </c>
      <c r="F33" s="1">
        <v>275</v>
      </c>
      <c r="G33" s="13">
        <f t="shared" si="0"/>
        <v>3.3000000000000003</v>
      </c>
      <c r="H33" s="4"/>
      <c r="I33" s="4"/>
      <c r="J33" s="4"/>
    </row>
    <row r="34" spans="1:10" x14ac:dyDescent="0.35">
      <c r="A34" s="3" t="s">
        <v>163</v>
      </c>
      <c r="B34" s="4" t="s">
        <v>453</v>
      </c>
      <c r="C34" s="14" t="s">
        <v>453</v>
      </c>
      <c r="D34" s="17" t="s">
        <v>466</v>
      </c>
      <c r="E34" s="4" t="s">
        <v>466</v>
      </c>
      <c r="F34" s="1">
        <v>1130</v>
      </c>
      <c r="G34" s="13">
        <f t="shared" si="0"/>
        <v>13.56</v>
      </c>
      <c r="H34" s="4"/>
      <c r="I34" s="4"/>
      <c r="J34" s="4"/>
    </row>
    <row r="35" spans="1:10" x14ac:dyDescent="0.35">
      <c r="A35" s="3" t="s">
        <v>164</v>
      </c>
      <c r="B35" s="4" t="s">
        <v>334</v>
      </c>
      <c r="C35" s="17" t="s">
        <v>2</v>
      </c>
      <c r="D35" s="17" t="s">
        <v>466</v>
      </c>
      <c r="E35" s="4" t="s">
        <v>466</v>
      </c>
      <c r="F35" s="1">
        <v>360</v>
      </c>
      <c r="G35" s="13">
        <f t="shared" si="0"/>
        <v>4.32</v>
      </c>
      <c r="H35" s="4"/>
      <c r="I35" s="4"/>
      <c r="J35" s="4"/>
    </row>
    <row r="36" spans="1:10" x14ac:dyDescent="0.35">
      <c r="A36" s="3" t="s">
        <v>165</v>
      </c>
      <c r="B36" s="4" t="s">
        <v>380</v>
      </c>
      <c r="C36" s="5"/>
      <c r="D36" s="17" t="s">
        <v>466</v>
      </c>
      <c r="E36" s="4" t="s">
        <v>466</v>
      </c>
      <c r="F36" s="1">
        <v>145</v>
      </c>
      <c r="G36" s="13">
        <f t="shared" si="0"/>
        <v>1.74</v>
      </c>
      <c r="H36" s="4"/>
      <c r="I36" s="4"/>
      <c r="J36" s="4"/>
    </row>
    <row r="37" spans="1:10" x14ac:dyDescent="0.35">
      <c r="A37" s="3" t="s">
        <v>166</v>
      </c>
      <c r="B37" s="4" t="s">
        <v>271</v>
      </c>
      <c r="C37" s="5"/>
      <c r="D37" s="17" t="s">
        <v>466</v>
      </c>
      <c r="E37" s="4" t="s">
        <v>466</v>
      </c>
      <c r="F37" s="1">
        <v>460</v>
      </c>
      <c r="G37" s="13">
        <f t="shared" si="0"/>
        <v>5.5200000000000005</v>
      </c>
      <c r="H37" s="4"/>
      <c r="I37" s="4"/>
      <c r="J37" s="4"/>
    </row>
    <row r="38" spans="1:10" x14ac:dyDescent="0.35">
      <c r="A38" s="3" t="s">
        <v>167</v>
      </c>
      <c r="B38" s="4" t="s">
        <v>284</v>
      </c>
      <c r="C38" s="17" t="s">
        <v>2</v>
      </c>
      <c r="D38" s="17" t="s">
        <v>466</v>
      </c>
      <c r="E38" s="4" t="s">
        <v>466</v>
      </c>
      <c r="F38" s="1">
        <v>95</v>
      </c>
      <c r="G38" s="13">
        <f t="shared" si="0"/>
        <v>1.1400000000000001</v>
      </c>
      <c r="H38" s="4"/>
      <c r="I38" s="4"/>
      <c r="J38" s="4"/>
    </row>
    <row r="39" spans="1:10" x14ac:dyDescent="0.35">
      <c r="A39" s="3" t="s">
        <v>168</v>
      </c>
      <c r="B39" s="4" t="s">
        <v>335</v>
      </c>
      <c r="C39" s="5"/>
      <c r="D39" s="17" t="s">
        <v>466</v>
      </c>
      <c r="E39" s="4" t="s">
        <v>466</v>
      </c>
      <c r="F39" s="1">
        <v>865</v>
      </c>
      <c r="G39" s="13">
        <f t="shared" si="0"/>
        <v>10.38</v>
      </c>
      <c r="H39" s="4"/>
      <c r="I39" s="4"/>
      <c r="J39" s="4"/>
    </row>
    <row r="40" spans="1:10" x14ac:dyDescent="0.35">
      <c r="A40" s="3" t="s">
        <v>169</v>
      </c>
      <c r="B40" s="4" t="s">
        <v>379</v>
      </c>
      <c r="C40" s="17" t="s">
        <v>454</v>
      </c>
      <c r="D40" s="17" t="s">
        <v>466</v>
      </c>
      <c r="E40" s="4" t="s">
        <v>466</v>
      </c>
      <c r="F40" s="1">
        <v>785</v>
      </c>
      <c r="G40" s="13">
        <f t="shared" si="0"/>
        <v>9.42</v>
      </c>
      <c r="H40" s="4"/>
      <c r="I40" s="4"/>
      <c r="J40" s="4"/>
    </row>
    <row r="41" spans="1:10" x14ac:dyDescent="0.35">
      <c r="A41" s="3" t="s">
        <v>170</v>
      </c>
      <c r="B41" s="4" t="s">
        <v>379</v>
      </c>
      <c r="C41" s="17" t="s">
        <v>454</v>
      </c>
      <c r="D41" s="17" t="s">
        <v>466</v>
      </c>
      <c r="E41" s="4" t="s">
        <v>466</v>
      </c>
      <c r="F41" s="1">
        <v>95</v>
      </c>
      <c r="G41" s="13">
        <f t="shared" si="0"/>
        <v>1.1400000000000001</v>
      </c>
      <c r="H41" s="4"/>
      <c r="I41" s="4"/>
      <c r="J41" s="4"/>
    </row>
    <row r="42" spans="1:10" x14ac:dyDescent="0.35">
      <c r="A42" s="3" t="s">
        <v>171</v>
      </c>
      <c r="B42" s="4" t="s">
        <v>454</v>
      </c>
      <c r="C42" s="5"/>
      <c r="D42" s="17" t="s">
        <v>466</v>
      </c>
      <c r="E42" s="4" t="s">
        <v>466</v>
      </c>
      <c r="F42" s="1">
        <v>78</v>
      </c>
      <c r="G42" s="13">
        <f t="shared" si="0"/>
        <v>0.93600000000000005</v>
      </c>
      <c r="H42" s="4"/>
      <c r="I42" s="4"/>
      <c r="J42" s="4"/>
    </row>
    <row r="43" spans="1:10" x14ac:dyDescent="0.35">
      <c r="A43" s="3" t="s">
        <v>172</v>
      </c>
      <c r="B43" s="4" t="s">
        <v>381</v>
      </c>
      <c r="C43" s="5"/>
      <c r="D43" s="17" t="s">
        <v>466</v>
      </c>
      <c r="E43" s="4" t="s">
        <v>466</v>
      </c>
      <c r="F43" s="1">
        <v>950</v>
      </c>
      <c r="G43" s="13">
        <f t="shared" si="0"/>
        <v>11.4</v>
      </c>
      <c r="H43" s="4"/>
      <c r="I43" s="4"/>
      <c r="J43" s="4"/>
    </row>
    <row r="44" spans="1:10" x14ac:dyDescent="0.35">
      <c r="A44" s="3" t="s">
        <v>173</v>
      </c>
      <c r="B44" s="4" t="s">
        <v>309</v>
      </c>
      <c r="C44" s="5"/>
      <c r="D44" s="17" t="s">
        <v>466</v>
      </c>
      <c r="E44" s="4" t="s">
        <v>466</v>
      </c>
      <c r="F44" s="1">
        <v>115</v>
      </c>
      <c r="G44" s="13">
        <f t="shared" si="0"/>
        <v>1.3800000000000001</v>
      </c>
      <c r="H44" s="4"/>
      <c r="I44" s="4"/>
      <c r="J44" s="4"/>
    </row>
    <row r="45" spans="1:10" x14ac:dyDescent="0.35">
      <c r="A45" s="3" t="s">
        <v>174</v>
      </c>
      <c r="B45" s="4" t="s">
        <v>362</v>
      </c>
      <c r="C45" s="5"/>
      <c r="D45" s="17" t="s">
        <v>466</v>
      </c>
      <c r="E45" s="4" t="s">
        <v>466</v>
      </c>
      <c r="F45" s="1">
        <v>410</v>
      </c>
      <c r="G45" s="13">
        <f t="shared" si="0"/>
        <v>4.92</v>
      </c>
      <c r="H45" s="4"/>
      <c r="I45" s="4"/>
      <c r="J45" s="4"/>
    </row>
    <row r="46" spans="1:10" x14ac:dyDescent="0.35">
      <c r="A46" s="3" t="s">
        <v>175</v>
      </c>
      <c r="B46" s="4" t="s">
        <v>326</v>
      </c>
      <c r="C46" s="5"/>
      <c r="D46" s="17" t="s">
        <v>466</v>
      </c>
      <c r="E46" s="4" t="s">
        <v>466</v>
      </c>
      <c r="F46" s="1">
        <v>275</v>
      </c>
      <c r="G46" s="13">
        <f t="shared" si="0"/>
        <v>3.3000000000000003</v>
      </c>
      <c r="H46" s="4"/>
      <c r="I46" s="4"/>
      <c r="J46" s="4"/>
    </row>
    <row r="47" spans="1:10" x14ac:dyDescent="0.35">
      <c r="A47" s="3" t="s">
        <v>176</v>
      </c>
      <c r="B47" s="4" t="s">
        <v>349</v>
      </c>
      <c r="C47" s="5"/>
      <c r="D47" s="17" t="s">
        <v>466</v>
      </c>
      <c r="E47" s="4" t="s">
        <v>466</v>
      </c>
      <c r="F47" s="1">
        <v>200</v>
      </c>
      <c r="G47" s="13">
        <f t="shared" si="0"/>
        <v>2.4</v>
      </c>
      <c r="H47" s="4"/>
      <c r="I47" s="4"/>
      <c r="J47" s="4"/>
    </row>
    <row r="48" spans="1:10" x14ac:dyDescent="0.35">
      <c r="A48" s="3" t="s">
        <v>177</v>
      </c>
      <c r="B48" s="4" t="s">
        <v>364</v>
      </c>
      <c r="C48" s="5"/>
      <c r="D48" s="17" t="s">
        <v>466</v>
      </c>
      <c r="E48" s="4" t="s">
        <v>466</v>
      </c>
      <c r="F48" s="1">
        <v>65</v>
      </c>
      <c r="G48" s="13">
        <f t="shared" si="0"/>
        <v>0.78</v>
      </c>
      <c r="H48" s="4"/>
      <c r="I48" s="4"/>
      <c r="J48" s="4"/>
    </row>
    <row r="49" spans="1:10" x14ac:dyDescent="0.35">
      <c r="A49" s="3" t="s">
        <v>178</v>
      </c>
      <c r="B49" s="4" t="s">
        <v>455</v>
      </c>
      <c r="C49" s="5"/>
      <c r="D49" s="17" t="s">
        <v>466</v>
      </c>
      <c r="E49" s="4" t="s">
        <v>466</v>
      </c>
      <c r="F49" s="1">
        <v>840</v>
      </c>
      <c r="G49" s="13">
        <f t="shared" si="0"/>
        <v>10.08</v>
      </c>
      <c r="H49" s="4"/>
      <c r="I49" s="4"/>
      <c r="J49" s="4"/>
    </row>
    <row r="50" spans="1:10" x14ac:dyDescent="0.35">
      <c r="A50" s="3" t="s">
        <v>179</v>
      </c>
      <c r="B50" s="4" t="s">
        <v>323</v>
      </c>
      <c r="C50" s="5"/>
      <c r="D50" s="17" t="s">
        <v>466</v>
      </c>
      <c r="E50" s="4" t="s">
        <v>466</v>
      </c>
      <c r="F50" s="1">
        <v>645</v>
      </c>
      <c r="G50" s="13">
        <f t="shared" si="0"/>
        <v>7.74</v>
      </c>
      <c r="H50" s="4"/>
      <c r="I50" s="4"/>
      <c r="J50" s="4"/>
    </row>
    <row r="51" spans="1:10" x14ac:dyDescent="0.35">
      <c r="A51" s="3" t="s">
        <v>180</v>
      </c>
      <c r="B51" s="4" t="s">
        <v>456</v>
      </c>
      <c r="C51" s="5"/>
      <c r="D51" s="17" t="s">
        <v>466</v>
      </c>
      <c r="E51" s="4" t="s">
        <v>466</v>
      </c>
      <c r="F51" s="1">
        <v>630</v>
      </c>
      <c r="G51" s="13">
        <f t="shared" si="0"/>
        <v>7.5600000000000005</v>
      </c>
      <c r="H51" s="4"/>
      <c r="I51" s="4"/>
      <c r="J51" s="4"/>
    </row>
    <row r="52" spans="1:10" x14ac:dyDescent="0.35">
      <c r="A52" s="3" t="s">
        <v>181</v>
      </c>
      <c r="B52" s="4" t="s">
        <v>457</v>
      </c>
      <c r="C52" s="5"/>
      <c r="D52" s="17" t="s">
        <v>466</v>
      </c>
      <c r="E52" s="4" t="s">
        <v>466</v>
      </c>
      <c r="F52" s="1">
        <v>950</v>
      </c>
      <c r="G52" s="13">
        <f t="shared" si="0"/>
        <v>11.4</v>
      </c>
      <c r="H52" s="4"/>
      <c r="I52" s="4"/>
      <c r="J52" s="4"/>
    </row>
    <row r="53" spans="1:10" x14ac:dyDescent="0.35">
      <c r="A53" s="3" t="s">
        <v>182</v>
      </c>
      <c r="B53" s="4" t="s">
        <v>314</v>
      </c>
      <c r="C53" s="5"/>
      <c r="D53" s="17" t="s">
        <v>466</v>
      </c>
      <c r="E53" s="4" t="s">
        <v>466</v>
      </c>
      <c r="F53" s="1">
        <v>445</v>
      </c>
      <c r="G53" s="13">
        <f t="shared" si="0"/>
        <v>5.34</v>
      </c>
      <c r="H53" s="4"/>
      <c r="I53" s="4"/>
      <c r="J53" s="4"/>
    </row>
    <row r="54" spans="1:10" x14ac:dyDescent="0.35">
      <c r="A54" s="3" t="s">
        <v>183</v>
      </c>
      <c r="B54" s="4" t="s">
        <v>82</v>
      </c>
      <c r="C54" s="5"/>
      <c r="D54" s="17" t="s">
        <v>466</v>
      </c>
      <c r="E54" s="4" t="s">
        <v>466</v>
      </c>
      <c r="F54" s="1">
        <v>256</v>
      </c>
      <c r="G54" s="13">
        <f t="shared" si="0"/>
        <v>3.0720000000000001</v>
      </c>
      <c r="H54" s="4"/>
      <c r="I54" s="4"/>
      <c r="J54" s="4"/>
    </row>
    <row r="55" spans="1:10" x14ac:dyDescent="0.35">
      <c r="A55" s="3" t="s">
        <v>184</v>
      </c>
      <c r="B55" s="4" t="s">
        <v>309</v>
      </c>
      <c r="C55" s="5"/>
      <c r="D55" s="17" t="s">
        <v>466</v>
      </c>
      <c r="E55" s="4" t="s">
        <v>466</v>
      </c>
      <c r="F55" s="1">
        <v>665</v>
      </c>
      <c r="G55" s="13">
        <f t="shared" si="0"/>
        <v>7.98</v>
      </c>
      <c r="H55" s="4"/>
      <c r="I55" s="4"/>
      <c r="J55" s="4"/>
    </row>
    <row r="56" spans="1:10" x14ac:dyDescent="0.35">
      <c r="A56" s="3" t="s">
        <v>185</v>
      </c>
      <c r="B56" s="4" t="s">
        <v>349</v>
      </c>
      <c r="C56" s="5"/>
      <c r="D56" s="17" t="s">
        <v>466</v>
      </c>
      <c r="E56" s="4" t="s">
        <v>466</v>
      </c>
      <c r="F56" s="1">
        <v>410</v>
      </c>
      <c r="G56" s="13">
        <f t="shared" si="0"/>
        <v>4.92</v>
      </c>
      <c r="H56" s="4"/>
      <c r="I56" s="4"/>
      <c r="J56" s="4"/>
    </row>
    <row r="57" spans="1:10" x14ac:dyDescent="0.35">
      <c r="A57" s="3" t="s">
        <v>186</v>
      </c>
      <c r="B57" s="4" t="s">
        <v>271</v>
      </c>
      <c r="C57" s="17" t="s">
        <v>597</v>
      </c>
      <c r="D57" s="17" t="s">
        <v>466</v>
      </c>
      <c r="E57" s="4" t="s">
        <v>466</v>
      </c>
      <c r="F57" s="1">
        <v>465</v>
      </c>
      <c r="G57" s="13">
        <f t="shared" si="0"/>
        <v>5.58</v>
      </c>
      <c r="H57" s="4"/>
      <c r="I57" s="4"/>
      <c r="J57" s="4"/>
    </row>
    <row r="58" spans="1:10" x14ac:dyDescent="0.35">
      <c r="A58" s="3" t="s">
        <v>187</v>
      </c>
      <c r="B58" s="4" t="s">
        <v>352</v>
      </c>
      <c r="C58" s="14" t="s">
        <v>352</v>
      </c>
      <c r="D58" s="17" t="s">
        <v>466</v>
      </c>
      <c r="E58" s="4" t="s">
        <v>466</v>
      </c>
      <c r="F58" s="1">
        <v>810</v>
      </c>
      <c r="G58" s="13">
        <f t="shared" si="0"/>
        <v>9.7200000000000006</v>
      </c>
      <c r="H58" s="4"/>
      <c r="I58" s="4"/>
      <c r="J58" s="4"/>
    </row>
    <row r="59" spans="1:10" x14ac:dyDescent="0.35">
      <c r="A59" s="3" t="s">
        <v>188</v>
      </c>
      <c r="B59" s="4" t="s">
        <v>82</v>
      </c>
      <c r="C59" s="5"/>
      <c r="D59" s="17" t="s">
        <v>466</v>
      </c>
      <c r="E59" s="4" t="s">
        <v>466</v>
      </c>
      <c r="F59" s="1">
        <v>150</v>
      </c>
      <c r="G59" s="13">
        <f t="shared" si="0"/>
        <v>1.8</v>
      </c>
      <c r="H59" s="4"/>
      <c r="I59" s="4"/>
      <c r="J59" s="4"/>
    </row>
    <row r="60" spans="1:10" x14ac:dyDescent="0.35">
      <c r="A60" s="3" t="s">
        <v>189</v>
      </c>
      <c r="B60" s="4" t="s">
        <v>314</v>
      </c>
      <c r="C60" s="5"/>
      <c r="D60" s="17" t="s">
        <v>466</v>
      </c>
      <c r="E60" s="4" t="s">
        <v>466</v>
      </c>
      <c r="F60" s="1">
        <v>280</v>
      </c>
      <c r="G60" s="13">
        <f t="shared" si="0"/>
        <v>3.36</v>
      </c>
      <c r="H60" s="4"/>
      <c r="I60" s="4"/>
      <c r="J60" s="4"/>
    </row>
    <row r="61" spans="1:10" x14ac:dyDescent="0.35">
      <c r="A61" s="3" t="s">
        <v>190</v>
      </c>
      <c r="B61" s="4" t="s">
        <v>443</v>
      </c>
      <c r="C61" s="5"/>
      <c r="D61" s="5" t="s">
        <v>467</v>
      </c>
      <c r="E61" s="4" t="s">
        <v>471</v>
      </c>
      <c r="F61" s="1">
        <v>344</v>
      </c>
      <c r="G61" s="13">
        <f t="shared" si="0"/>
        <v>4.1280000000000001</v>
      </c>
      <c r="H61" s="4"/>
      <c r="I61" s="4"/>
      <c r="J61" s="4"/>
    </row>
    <row r="62" spans="1:10" x14ac:dyDescent="0.35">
      <c r="A62" s="3" t="s">
        <v>191</v>
      </c>
      <c r="B62" s="4" t="s">
        <v>303</v>
      </c>
      <c r="C62" s="17" t="s">
        <v>482</v>
      </c>
      <c r="D62" s="5" t="s">
        <v>467</v>
      </c>
      <c r="E62" s="4" t="s">
        <v>471</v>
      </c>
      <c r="F62" s="1">
        <v>428</v>
      </c>
      <c r="G62" s="13">
        <f t="shared" si="0"/>
        <v>5.1360000000000001</v>
      </c>
      <c r="H62" s="4"/>
      <c r="I62" s="4"/>
      <c r="J62" s="4"/>
    </row>
    <row r="63" spans="1:10" x14ac:dyDescent="0.35">
      <c r="A63" s="3" t="s">
        <v>192</v>
      </c>
      <c r="B63" s="4" t="s">
        <v>458</v>
      </c>
      <c r="C63" s="14" t="s">
        <v>307</v>
      </c>
      <c r="D63" s="5" t="s">
        <v>467</v>
      </c>
      <c r="E63" s="4" t="s">
        <v>471</v>
      </c>
      <c r="F63" s="1">
        <v>590</v>
      </c>
      <c r="G63" s="13">
        <f t="shared" si="0"/>
        <v>7.08</v>
      </c>
      <c r="H63" s="4"/>
      <c r="I63" s="4"/>
      <c r="J63" s="4"/>
    </row>
    <row r="64" spans="1:10" x14ac:dyDescent="0.35">
      <c r="A64" s="3" t="s">
        <v>193</v>
      </c>
      <c r="B64" s="4" t="s">
        <v>364</v>
      </c>
      <c r="C64" s="5" t="s">
        <v>599</v>
      </c>
      <c r="D64" s="5" t="s">
        <v>467</v>
      </c>
      <c r="E64" s="4" t="s">
        <v>471</v>
      </c>
      <c r="F64" s="1">
        <v>270</v>
      </c>
      <c r="G64" s="13">
        <f t="shared" si="0"/>
        <v>3.24</v>
      </c>
      <c r="H64" s="4"/>
      <c r="I64" s="4"/>
      <c r="J64" s="4"/>
    </row>
    <row r="65" spans="1:10" x14ac:dyDescent="0.35">
      <c r="A65" s="3" t="s">
        <v>194</v>
      </c>
      <c r="B65" s="4" t="s">
        <v>326</v>
      </c>
      <c r="C65" s="5" t="s">
        <v>599</v>
      </c>
      <c r="D65" s="5" t="s">
        <v>467</v>
      </c>
      <c r="E65" s="4" t="s">
        <v>471</v>
      </c>
      <c r="F65" s="1">
        <v>323</v>
      </c>
      <c r="G65" s="13">
        <f t="shared" si="0"/>
        <v>3.8759999999999999</v>
      </c>
      <c r="H65" s="4"/>
      <c r="I65" s="4"/>
      <c r="J65" s="4"/>
    </row>
    <row r="66" spans="1:10" x14ac:dyDescent="0.35">
      <c r="A66" s="3" t="s">
        <v>195</v>
      </c>
      <c r="B66" s="4" t="s">
        <v>297</v>
      </c>
      <c r="C66" s="5" t="s">
        <v>599</v>
      </c>
      <c r="D66" s="5" t="s">
        <v>467</v>
      </c>
      <c r="E66" s="4" t="s">
        <v>471</v>
      </c>
      <c r="F66" s="1">
        <v>802</v>
      </c>
      <c r="G66" s="13">
        <f t="shared" si="0"/>
        <v>9.6240000000000006</v>
      </c>
      <c r="H66" s="4"/>
      <c r="I66" s="4"/>
      <c r="J66" s="4"/>
    </row>
    <row r="67" spans="1:10" x14ac:dyDescent="0.35">
      <c r="A67" s="3" t="s">
        <v>196</v>
      </c>
      <c r="B67" s="4" t="s">
        <v>383</v>
      </c>
      <c r="C67" s="5" t="s">
        <v>599</v>
      </c>
      <c r="D67" s="5" t="s">
        <v>467</v>
      </c>
      <c r="E67" s="4" t="s">
        <v>471</v>
      </c>
      <c r="F67" s="1">
        <v>430</v>
      </c>
      <c r="G67" s="13">
        <f t="shared" si="0"/>
        <v>5.16</v>
      </c>
      <c r="H67" s="4"/>
      <c r="I67" s="4"/>
      <c r="J67" s="4"/>
    </row>
    <row r="68" spans="1:10" x14ac:dyDescent="0.35">
      <c r="A68" s="3" t="s">
        <v>197</v>
      </c>
      <c r="B68" s="4" t="s">
        <v>329</v>
      </c>
      <c r="C68" s="17" t="s">
        <v>582</v>
      </c>
      <c r="D68" s="5" t="s">
        <v>467</v>
      </c>
      <c r="E68" s="4" t="s">
        <v>471</v>
      </c>
      <c r="F68" s="1">
        <v>740</v>
      </c>
      <c r="G68" s="13">
        <f t="shared" si="0"/>
        <v>8.8800000000000008</v>
      </c>
      <c r="H68" s="4"/>
      <c r="I68" s="4"/>
      <c r="J68" s="4"/>
    </row>
    <row r="69" spans="1:10" x14ac:dyDescent="0.35">
      <c r="A69" s="3" t="s">
        <v>198</v>
      </c>
      <c r="B69" s="4" t="s">
        <v>459</v>
      </c>
      <c r="C69" s="5"/>
      <c r="D69" s="5" t="s">
        <v>467</v>
      </c>
      <c r="E69" s="4" t="s">
        <v>471</v>
      </c>
      <c r="F69" s="1">
        <v>440</v>
      </c>
      <c r="G69" s="13">
        <f t="shared" si="0"/>
        <v>5.28</v>
      </c>
      <c r="H69" s="4"/>
      <c r="I69" s="4"/>
      <c r="J69" s="4"/>
    </row>
    <row r="70" spans="1:10" x14ac:dyDescent="0.35">
      <c r="A70" s="3" t="s">
        <v>199</v>
      </c>
      <c r="B70" s="4" t="s">
        <v>315</v>
      </c>
      <c r="C70" s="17" t="s">
        <v>582</v>
      </c>
      <c r="D70" s="5" t="s">
        <v>467</v>
      </c>
      <c r="E70" s="4" t="s">
        <v>471</v>
      </c>
      <c r="F70" s="1">
        <v>992</v>
      </c>
      <c r="G70" s="13">
        <f t="shared" ref="G70:G122" si="1">(6/500)*F70</f>
        <v>11.904</v>
      </c>
      <c r="H70" s="4"/>
      <c r="I70" s="4"/>
      <c r="J70" s="4"/>
    </row>
    <row r="71" spans="1:10" x14ac:dyDescent="0.35">
      <c r="A71" s="3" t="s">
        <v>200</v>
      </c>
      <c r="B71" s="4" t="s">
        <v>460</v>
      </c>
      <c r="C71" s="17" t="s">
        <v>582</v>
      </c>
      <c r="D71" s="5" t="s">
        <v>467</v>
      </c>
      <c r="E71" s="4" t="s">
        <v>471</v>
      </c>
      <c r="F71" s="1">
        <f>705+111</f>
        <v>816</v>
      </c>
      <c r="G71" s="13">
        <f t="shared" si="1"/>
        <v>9.7919999999999998</v>
      </c>
      <c r="H71" s="4"/>
      <c r="I71" s="4"/>
      <c r="J71" s="4"/>
    </row>
    <row r="72" spans="1:10" x14ac:dyDescent="0.35">
      <c r="A72" s="3" t="s">
        <v>201</v>
      </c>
      <c r="B72" s="4" t="s">
        <v>338</v>
      </c>
      <c r="C72" s="17" t="s">
        <v>582</v>
      </c>
      <c r="D72" s="5" t="s">
        <v>467</v>
      </c>
      <c r="E72" s="4" t="s">
        <v>471</v>
      </c>
      <c r="F72" s="1">
        <f>350+150</f>
        <v>500</v>
      </c>
      <c r="G72" s="13">
        <f t="shared" si="1"/>
        <v>6</v>
      </c>
      <c r="H72" s="4"/>
      <c r="I72" s="4"/>
      <c r="J72" s="4"/>
    </row>
    <row r="73" spans="1:10" x14ac:dyDescent="0.35">
      <c r="A73" s="3" t="s">
        <v>202</v>
      </c>
      <c r="B73" s="4" t="s">
        <v>82</v>
      </c>
      <c r="C73" s="17" t="s">
        <v>582</v>
      </c>
      <c r="D73" s="5" t="s">
        <v>467</v>
      </c>
      <c r="E73" s="4" t="s">
        <v>471</v>
      </c>
      <c r="F73" s="1">
        <v>680</v>
      </c>
      <c r="G73" s="13">
        <f t="shared" si="1"/>
        <v>8.16</v>
      </c>
      <c r="H73" s="4"/>
      <c r="I73" s="4"/>
      <c r="J73" s="4"/>
    </row>
    <row r="74" spans="1:10" x14ac:dyDescent="0.35">
      <c r="A74" s="3" t="s">
        <v>203</v>
      </c>
      <c r="B74" s="4" t="s">
        <v>364</v>
      </c>
      <c r="C74" s="17" t="s">
        <v>582</v>
      </c>
      <c r="D74" s="5" t="s">
        <v>467</v>
      </c>
      <c r="E74" s="4" t="s">
        <v>471</v>
      </c>
      <c r="F74" s="1">
        <v>315</v>
      </c>
      <c r="G74" s="13">
        <f t="shared" si="1"/>
        <v>3.7800000000000002</v>
      </c>
      <c r="H74" s="4"/>
      <c r="I74" s="4"/>
      <c r="J74" s="4"/>
    </row>
    <row r="75" spans="1:10" x14ac:dyDescent="0.35">
      <c r="A75" s="3" t="s">
        <v>204</v>
      </c>
      <c r="B75" s="4" t="s">
        <v>306</v>
      </c>
      <c r="C75" s="17" t="s">
        <v>582</v>
      </c>
      <c r="D75" s="5" t="s">
        <v>467</v>
      </c>
      <c r="E75" s="4" t="s">
        <v>471</v>
      </c>
      <c r="F75" s="1">
        <f>160+195</f>
        <v>355</v>
      </c>
      <c r="G75" s="13">
        <f t="shared" si="1"/>
        <v>4.26</v>
      </c>
      <c r="H75" s="4"/>
      <c r="I75" s="4"/>
      <c r="J75" s="4"/>
    </row>
    <row r="76" spans="1:10" x14ac:dyDescent="0.35">
      <c r="A76" s="3" t="s">
        <v>205</v>
      </c>
      <c r="B76" s="4" t="s">
        <v>461</v>
      </c>
      <c r="C76" s="17" t="s">
        <v>582</v>
      </c>
      <c r="D76" s="5" t="s">
        <v>467</v>
      </c>
      <c r="E76" s="4" t="s">
        <v>471</v>
      </c>
      <c r="F76" s="1">
        <v>350</v>
      </c>
      <c r="G76" s="13">
        <f t="shared" si="1"/>
        <v>4.2</v>
      </c>
      <c r="H76" s="4"/>
      <c r="I76" s="4"/>
      <c r="J76" s="4"/>
    </row>
    <row r="77" spans="1:10" x14ac:dyDescent="0.35">
      <c r="A77" s="3" t="s">
        <v>206</v>
      </c>
      <c r="B77" s="4" t="s">
        <v>281</v>
      </c>
      <c r="C77" s="5" t="s">
        <v>599</v>
      </c>
      <c r="D77" s="5" t="s">
        <v>467</v>
      </c>
      <c r="E77" s="4" t="s">
        <v>471</v>
      </c>
      <c r="F77" s="1">
        <v>140</v>
      </c>
      <c r="G77" s="13">
        <f t="shared" si="1"/>
        <v>1.68</v>
      </c>
      <c r="H77" s="4"/>
      <c r="I77" s="4"/>
      <c r="J77" s="4"/>
    </row>
    <row r="78" spans="1:10" x14ac:dyDescent="0.35">
      <c r="A78" s="3" t="s">
        <v>207</v>
      </c>
      <c r="B78" s="4" t="s">
        <v>326</v>
      </c>
      <c r="C78" s="5" t="s">
        <v>599</v>
      </c>
      <c r="D78" s="5" t="s">
        <v>467</v>
      </c>
      <c r="E78" s="4" t="s">
        <v>471</v>
      </c>
      <c r="F78" s="1">
        <v>415</v>
      </c>
      <c r="G78" s="13">
        <f t="shared" si="1"/>
        <v>4.9800000000000004</v>
      </c>
      <c r="H78" s="4"/>
      <c r="I78" s="4"/>
      <c r="J78" s="4"/>
    </row>
    <row r="79" spans="1:10" x14ac:dyDescent="0.35">
      <c r="A79" s="3" t="s">
        <v>208</v>
      </c>
      <c r="B79" s="4" t="s">
        <v>306</v>
      </c>
      <c r="C79" s="17" t="s">
        <v>582</v>
      </c>
      <c r="D79" s="5" t="s">
        <v>467</v>
      </c>
      <c r="E79" s="4" t="s">
        <v>471</v>
      </c>
      <c r="F79" s="1">
        <f>570+220</f>
        <v>790</v>
      </c>
      <c r="G79" s="13">
        <f t="shared" si="1"/>
        <v>9.48</v>
      </c>
      <c r="H79" s="4"/>
      <c r="I79" s="4"/>
      <c r="J79" s="4"/>
    </row>
    <row r="80" spans="1:10" x14ac:dyDescent="0.35">
      <c r="A80" s="3" t="s">
        <v>209</v>
      </c>
      <c r="B80" s="4" t="s">
        <v>444</v>
      </c>
      <c r="C80" s="17" t="s">
        <v>353</v>
      </c>
      <c r="D80" s="5" t="s">
        <v>467</v>
      </c>
      <c r="E80" s="4" t="s">
        <v>471</v>
      </c>
      <c r="F80" s="1">
        <v>760</v>
      </c>
      <c r="G80" s="13">
        <f t="shared" si="1"/>
        <v>9.120000000000001</v>
      </c>
      <c r="H80" s="4"/>
      <c r="I80" s="4"/>
      <c r="J80" s="4"/>
    </row>
    <row r="81" spans="1:10" x14ac:dyDescent="0.35">
      <c r="A81" s="3" t="s">
        <v>210</v>
      </c>
      <c r="B81" s="4" t="s">
        <v>311</v>
      </c>
      <c r="C81" s="17" t="s">
        <v>481</v>
      </c>
      <c r="D81" s="5" t="s">
        <v>467</v>
      </c>
      <c r="E81" s="4" t="s">
        <v>471</v>
      </c>
      <c r="F81" s="1">
        <v>576</v>
      </c>
      <c r="G81" s="13">
        <f t="shared" si="1"/>
        <v>6.9119999999999999</v>
      </c>
      <c r="H81" s="4"/>
      <c r="I81" s="4"/>
      <c r="J81" s="4"/>
    </row>
    <row r="82" spans="1:10" x14ac:dyDescent="0.35">
      <c r="A82" s="3" t="s">
        <v>211</v>
      </c>
      <c r="B82" s="4" t="s">
        <v>298</v>
      </c>
      <c r="C82" s="17" t="s">
        <v>318</v>
      </c>
      <c r="D82" s="5" t="s">
        <v>467</v>
      </c>
      <c r="E82" s="4" t="s">
        <v>471</v>
      </c>
      <c r="F82" s="1">
        <v>755</v>
      </c>
      <c r="G82" s="13">
        <f t="shared" si="1"/>
        <v>9.06</v>
      </c>
      <c r="H82" s="4"/>
      <c r="I82" s="4"/>
      <c r="J82" s="4"/>
    </row>
    <row r="83" spans="1:10" x14ac:dyDescent="0.35">
      <c r="A83" s="3" t="s">
        <v>212</v>
      </c>
      <c r="B83" s="4" t="s">
        <v>283</v>
      </c>
      <c r="C83" s="14"/>
      <c r="D83" s="5" t="s">
        <v>467</v>
      </c>
      <c r="E83" s="4" t="s">
        <v>471</v>
      </c>
      <c r="F83" s="1">
        <v>220</v>
      </c>
      <c r="G83" s="13">
        <f t="shared" si="1"/>
        <v>2.64</v>
      </c>
      <c r="H83" s="4"/>
      <c r="I83" s="4"/>
      <c r="J83" s="4"/>
    </row>
    <row r="84" spans="1:10" x14ac:dyDescent="0.35">
      <c r="A84" s="3" t="s">
        <v>213</v>
      </c>
      <c r="B84" s="4" t="s">
        <v>444</v>
      </c>
      <c r="C84" s="17" t="s">
        <v>353</v>
      </c>
      <c r="D84" s="5" t="s">
        <v>467</v>
      </c>
      <c r="E84" s="4" t="s">
        <v>471</v>
      </c>
      <c r="F84" s="1">
        <v>560</v>
      </c>
      <c r="G84" s="13">
        <f t="shared" si="1"/>
        <v>6.72</v>
      </c>
      <c r="H84" s="4"/>
      <c r="I84" s="4"/>
      <c r="J84" s="4"/>
    </row>
    <row r="85" spans="1:10" x14ac:dyDescent="0.35">
      <c r="A85" s="3" t="s">
        <v>214</v>
      </c>
      <c r="B85" s="4" t="s">
        <v>281</v>
      </c>
      <c r="C85" s="14" t="s">
        <v>281</v>
      </c>
      <c r="D85" s="5" t="s">
        <v>467</v>
      </c>
      <c r="E85" s="4" t="s">
        <v>471</v>
      </c>
      <c r="F85" s="1">
        <v>415</v>
      </c>
      <c r="G85" s="13">
        <f t="shared" si="1"/>
        <v>4.9800000000000004</v>
      </c>
      <c r="H85" s="4"/>
      <c r="I85" s="4"/>
      <c r="J85" s="4"/>
    </row>
    <row r="86" spans="1:10" x14ac:dyDescent="0.35">
      <c r="A86" s="3" t="s">
        <v>215</v>
      </c>
      <c r="B86" s="4" t="s">
        <v>298</v>
      </c>
      <c r="C86" s="17" t="s">
        <v>318</v>
      </c>
      <c r="D86" s="5" t="s">
        <v>467</v>
      </c>
      <c r="E86" s="4" t="s">
        <v>471</v>
      </c>
      <c r="F86" s="1">
        <v>120</v>
      </c>
      <c r="G86" s="13">
        <f t="shared" si="1"/>
        <v>1.44</v>
      </c>
      <c r="H86" s="4"/>
      <c r="I86" s="4"/>
      <c r="J86" s="4"/>
    </row>
    <row r="87" spans="1:10" x14ac:dyDescent="0.35">
      <c r="A87" s="3" t="s">
        <v>216</v>
      </c>
      <c r="B87" s="4" t="s">
        <v>312</v>
      </c>
      <c r="C87" s="17" t="s">
        <v>351</v>
      </c>
      <c r="D87" s="5" t="s">
        <v>467</v>
      </c>
      <c r="E87" s="4" t="s">
        <v>471</v>
      </c>
      <c r="F87" s="1">
        <v>1050</v>
      </c>
      <c r="G87" s="13">
        <f t="shared" si="1"/>
        <v>12.6</v>
      </c>
      <c r="H87" s="4"/>
      <c r="I87" s="4"/>
      <c r="J87" s="4"/>
    </row>
    <row r="88" spans="1:10" x14ac:dyDescent="0.35">
      <c r="A88" s="3" t="s">
        <v>217</v>
      </c>
      <c r="B88" s="4" t="s">
        <v>353</v>
      </c>
      <c r="C88" s="14" t="s">
        <v>353</v>
      </c>
      <c r="D88" s="5" t="s">
        <v>467</v>
      </c>
      <c r="E88" s="4" t="s">
        <v>471</v>
      </c>
      <c r="F88" s="1">
        <v>410</v>
      </c>
      <c r="G88" s="13">
        <f t="shared" si="1"/>
        <v>4.92</v>
      </c>
      <c r="H88" s="4"/>
      <c r="I88" s="4"/>
      <c r="J88" s="4"/>
    </row>
    <row r="89" spans="1:10" x14ac:dyDescent="0.35">
      <c r="A89" s="3" t="s">
        <v>218</v>
      </c>
      <c r="B89" s="4" t="s">
        <v>462</v>
      </c>
      <c r="C89" s="5"/>
      <c r="D89" s="5" t="s">
        <v>467</v>
      </c>
      <c r="E89" s="4" t="s">
        <v>471</v>
      </c>
      <c r="F89" s="1">
        <v>100</v>
      </c>
      <c r="G89" s="13">
        <f t="shared" si="1"/>
        <v>1.2</v>
      </c>
      <c r="H89" s="4"/>
      <c r="I89" s="4"/>
      <c r="J89" s="4"/>
    </row>
    <row r="90" spans="1:10" x14ac:dyDescent="0.35">
      <c r="A90" s="3" t="s">
        <v>219</v>
      </c>
      <c r="B90" s="4" t="s">
        <v>388</v>
      </c>
      <c r="C90" s="5" t="s">
        <v>599</v>
      </c>
      <c r="D90" s="5" t="s">
        <v>467</v>
      </c>
      <c r="E90" s="4" t="s">
        <v>471</v>
      </c>
      <c r="F90" s="1">
        <v>890</v>
      </c>
      <c r="G90" s="13">
        <f t="shared" si="1"/>
        <v>10.68</v>
      </c>
      <c r="H90" s="4"/>
      <c r="I90" s="4"/>
      <c r="J90" s="4"/>
    </row>
    <row r="91" spans="1:10" x14ac:dyDescent="0.35">
      <c r="A91" s="3" t="s">
        <v>220</v>
      </c>
      <c r="B91" s="4" t="s">
        <v>271</v>
      </c>
      <c r="C91" s="5"/>
      <c r="D91" s="5" t="s">
        <v>467</v>
      </c>
      <c r="E91" s="4" t="s">
        <v>471</v>
      </c>
      <c r="F91" s="1">
        <v>480</v>
      </c>
      <c r="G91" s="13">
        <f t="shared" si="1"/>
        <v>5.76</v>
      </c>
      <c r="H91" s="4"/>
      <c r="I91" s="4"/>
      <c r="J91" s="4"/>
    </row>
    <row r="92" spans="1:10" x14ac:dyDescent="0.35">
      <c r="A92" s="3" t="s">
        <v>221</v>
      </c>
      <c r="B92" s="4" t="s">
        <v>609</v>
      </c>
      <c r="C92" s="17" t="s">
        <v>272</v>
      </c>
      <c r="D92" s="5" t="s">
        <v>467</v>
      </c>
      <c r="E92" s="4" t="s">
        <v>471</v>
      </c>
      <c r="F92" s="1">
        <v>373</v>
      </c>
      <c r="G92" s="13">
        <f t="shared" si="1"/>
        <v>4.476</v>
      </c>
      <c r="H92" s="4"/>
      <c r="I92" s="4"/>
      <c r="J92" s="4"/>
    </row>
    <row r="93" spans="1:10" x14ac:dyDescent="0.35">
      <c r="A93" s="3" t="s">
        <v>222</v>
      </c>
      <c r="B93" s="4" t="s">
        <v>609</v>
      </c>
      <c r="C93" s="17" t="s">
        <v>272</v>
      </c>
      <c r="D93" s="5" t="s">
        <v>467</v>
      </c>
      <c r="E93" s="4" t="s">
        <v>471</v>
      </c>
      <c r="F93" s="1">
        <v>1110</v>
      </c>
      <c r="G93" s="13">
        <f t="shared" si="1"/>
        <v>13.32</v>
      </c>
      <c r="H93" s="4"/>
      <c r="I93" s="4"/>
      <c r="J93" s="4"/>
    </row>
    <row r="94" spans="1:10" x14ac:dyDescent="0.35">
      <c r="A94" s="3" t="s">
        <v>223</v>
      </c>
      <c r="B94" s="4" t="s">
        <v>323</v>
      </c>
      <c r="C94" s="14" t="s">
        <v>323</v>
      </c>
      <c r="D94" s="5" t="s">
        <v>467</v>
      </c>
      <c r="E94" s="4" t="s">
        <v>471</v>
      </c>
      <c r="F94" s="1">
        <v>680</v>
      </c>
      <c r="G94" s="13">
        <f t="shared" si="1"/>
        <v>8.16</v>
      </c>
      <c r="H94" s="4"/>
      <c r="I94" s="4"/>
      <c r="J94" s="4"/>
    </row>
    <row r="95" spans="1:10" x14ac:dyDescent="0.35">
      <c r="A95" s="3" t="s">
        <v>224</v>
      </c>
      <c r="B95" s="4" t="s">
        <v>381</v>
      </c>
      <c r="C95" s="17" t="s">
        <v>582</v>
      </c>
      <c r="D95" s="5" t="s">
        <v>467</v>
      </c>
      <c r="E95" s="4" t="s">
        <v>471</v>
      </c>
      <c r="F95" s="1">
        <v>695</v>
      </c>
      <c r="G95" s="13">
        <f t="shared" si="1"/>
        <v>8.34</v>
      </c>
      <c r="H95" s="4"/>
      <c r="I95" s="4"/>
      <c r="J95" s="4"/>
    </row>
    <row r="96" spans="1:10" x14ac:dyDescent="0.35">
      <c r="A96" s="3" t="s">
        <v>225</v>
      </c>
      <c r="B96" s="4" t="s">
        <v>361</v>
      </c>
      <c r="C96" s="14" t="s">
        <v>361</v>
      </c>
      <c r="D96" s="5" t="s">
        <v>467</v>
      </c>
      <c r="E96" s="4" t="s">
        <v>471</v>
      </c>
      <c r="F96" s="1">
        <v>1250</v>
      </c>
      <c r="G96" s="13">
        <f t="shared" si="1"/>
        <v>15</v>
      </c>
      <c r="H96" s="4"/>
      <c r="I96" s="4"/>
      <c r="J96" s="4"/>
    </row>
    <row r="97" spans="1:10" x14ac:dyDescent="0.35">
      <c r="A97" s="3" t="s">
        <v>226</v>
      </c>
      <c r="B97" s="4" t="s">
        <v>335</v>
      </c>
      <c r="C97" s="17" t="s">
        <v>582</v>
      </c>
      <c r="D97" s="5" t="s">
        <v>467</v>
      </c>
      <c r="E97" s="4" t="s">
        <v>471</v>
      </c>
      <c r="F97" s="1">
        <v>580</v>
      </c>
      <c r="G97" s="13">
        <f t="shared" si="1"/>
        <v>6.96</v>
      </c>
      <c r="H97" s="4"/>
      <c r="I97" s="4"/>
      <c r="J97" s="4"/>
    </row>
    <row r="98" spans="1:10" x14ac:dyDescent="0.35">
      <c r="A98" s="3" t="s">
        <v>227</v>
      </c>
      <c r="B98" s="4" t="s">
        <v>463</v>
      </c>
      <c r="C98" s="14" t="s">
        <v>463</v>
      </c>
      <c r="D98" s="5" t="s">
        <v>467</v>
      </c>
      <c r="E98" s="4" t="s">
        <v>471</v>
      </c>
      <c r="F98" s="1">
        <v>1055</v>
      </c>
      <c r="G98" s="13">
        <f t="shared" si="1"/>
        <v>12.66</v>
      </c>
      <c r="H98" s="4"/>
      <c r="I98" s="4"/>
      <c r="J98" s="4"/>
    </row>
    <row r="99" spans="1:10" x14ac:dyDescent="0.35">
      <c r="A99" s="3" t="s">
        <v>228</v>
      </c>
      <c r="B99" s="4" t="s">
        <v>338</v>
      </c>
      <c r="C99" s="30" t="s">
        <v>597</v>
      </c>
      <c r="D99" s="5" t="s">
        <v>467</v>
      </c>
      <c r="E99" s="4" t="s">
        <v>471</v>
      </c>
      <c r="F99" s="1">
        <v>310</v>
      </c>
      <c r="G99" s="13">
        <f t="shared" si="1"/>
        <v>3.72</v>
      </c>
      <c r="H99" s="4"/>
      <c r="I99" s="4"/>
      <c r="J99" s="4"/>
    </row>
    <row r="100" spans="1:10" x14ac:dyDescent="0.35">
      <c r="A100" s="3" t="s">
        <v>229</v>
      </c>
      <c r="B100" s="4" t="s">
        <v>299</v>
      </c>
      <c r="C100" s="14" t="s">
        <v>299</v>
      </c>
      <c r="D100" s="5" t="s">
        <v>467</v>
      </c>
      <c r="E100" s="4" t="s">
        <v>471</v>
      </c>
      <c r="F100" s="1">
        <v>965</v>
      </c>
      <c r="G100" s="13">
        <f t="shared" si="1"/>
        <v>11.58</v>
      </c>
      <c r="H100" s="4"/>
      <c r="I100" s="4"/>
      <c r="J100" s="4"/>
    </row>
    <row r="101" spans="1:10" x14ac:dyDescent="0.35">
      <c r="A101" s="3" t="s">
        <v>230</v>
      </c>
      <c r="B101" s="4" t="s">
        <v>380</v>
      </c>
      <c r="C101" s="17" t="s">
        <v>604</v>
      </c>
      <c r="D101" s="5" t="s">
        <v>467</v>
      </c>
      <c r="E101" s="4" t="s">
        <v>471</v>
      </c>
      <c r="F101" s="1">
        <v>400</v>
      </c>
      <c r="G101" s="13">
        <f t="shared" si="1"/>
        <v>4.8</v>
      </c>
      <c r="H101" s="4"/>
      <c r="I101" s="4"/>
      <c r="J101" s="4"/>
    </row>
    <row r="102" spans="1:10" x14ac:dyDescent="0.35">
      <c r="A102" s="3" t="s">
        <v>231</v>
      </c>
      <c r="B102" s="4" t="s">
        <v>334</v>
      </c>
      <c r="C102" s="14" t="s">
        <v>334</v>
      </c>
      <c r="D102" s="5" t="s">
        <v>467</v>
      </c>
      <c r="E102" s="4" t="s">
        <v>471</v>
      </c>
      <c r="F102" s="1">
        <v>1180</v>
      </c>
      <c r="G102" s="13">
        <f t="shared" si="1"/>
        <v>14.16</v>
      </c>
      <c r="H102" s="4"/>
      <c r="I102" s="4"/>
      <c r="J102" s="4"/>
    </row>
    <row r="103" spans="1:10" x14ac:dyDescent="0.35">
      <c r="A103" s="3" t="s">
        <v>232</v>
      </c>
      <c r="B103" s="4" t="s">
        <v>455</v>
      </c>
      <c r="C103" s="5"/>
      <c r="D103" s="5" t="s">
        <v>467</v>
      </c>
      <c r="E103" s="4" t="s">
        <v>471</v>
      </c>
      <c r="F103" s="1">
        <v>500</v>
      </c>
      <c r="G103" s="13">
        <f t="shared" si="1"/>
        <v>6</v>
      </c>
      <c r="H103" s="4"/>
      <c r="I103" s="4"/>
      <c r="J103" s="4"/>
    </row>
    <row r="104" spans="1:10" x14ac:dyDescent="0.35">
      <c r="A104" s="3" t="s">
        <v>233</v>
      </c>
      <c r="B104" s="4" t="s">
        <v>464</v>
      </c>
      <c r="C104" s="17" t="s">
        <v>310</v>
      </c>
      <c r="D104" s="5" t="s">
        <v>467</v>
      </c>
      <c r="E104" s="4" t="s">
        <v>471</v>
      </c>
      <c r="F104" s="1">
        <v>500</v>
      </c>
      <c r="G104" s="13">
        <f t="shared" si="1"/>
        <v>6</v>
      </c>
      <c r="H104" s="4"/>
      <c r="I104" s="4"/>
      <c r="J104" s="4"/>
    </row>
    <row r="105" spans="1:10" x14ac:dyDescent="0.35">
      <c r="A105" s="3" t="s">
        <v>234</v>
      </c>
      <c r="B105" s="4" t="s">
        <v>338</v>
      </c>
      <c r="C105" s="30" t="s">
        <v>597</v>
      </c>
      <c r="D105" s="5" t="s">
        <v>467</v>
      </c>
      <c r="E105" s="4" t="s">
        <v>471</v>
      </c>
      <c r="F105" s="1">
        <v>785</v>
      </c>
      <c r="G105" s="13">
        <f t="shared" si="1"/>
        <v>9.42</v>
      </c>
      <c r="H105" s="4"/>
      <c r="I105" s="4"/>
      <c r="J105" s="4"/>
    </row>
    <row r="106" spans="1:10" x14ac:dyDescent="0.35">
      <c r="A106" s="3" t="s">
        <v>235</v>
      </c>
      <c r="B106" s="4" t="s">
        <v>311</v>
      </c>
      <c r="C106" s="17" t="s">
        <v>481</v>
      </c>
      <c r="D106" s="5" t="s">
        <v>467</v>
      </c>
      <c r="E106" s="4" t="s">
        <v>471</v>
      </c>
      <c r="F106" s="1">
        <v>620</v>
      </c>
      <c r="G106" s="13">
        <f t="shared" si="1"/>
        <v>7.44</v>
      </c>
      <c r="H106" s="4"/>
      <c r="I106" s="4"/>
      <c r="J106" s="4"/>
    </row>
    <row r="107" spans="1:10" x14ac:dyDescent="0.35">
      <c r="A107" s="3" t="s">
        <v>236</v>
      </c>
      <c r="B107" s="4" t="s">
        <v>311</v>
      </c>
      <c r="C107" s="17" t="s">
        <v>481</v>
      </c>
      <c r="D107" s="5" t="s">
        <v>467</v>
      </c>
      <c r="E107" s="4" t="s">
        <v>471</v>
      </c>
      <c r="F107" s="1">
        <v>505</v>
      </c>
      <c r="G107" s="13">
        <f t="shared" si="1"/>
        <v>6.0600000000000005</v>
      </c>
      <c r="H107" s="4"/>
      <c r="I107" s="4"/>
      <c r="J107" s="4"/>
    </row>
    <row r="108" spans="1:10" x14ac:dyDescent="0.35">
      <c r="A108" s="3" t="s">
        <v>237</v>
      </c>
      <c r="B108" s="4" t="s">
        <v>335</v>
      </c>
      <c r="C108" s="14" t="s">
        <v>335</v>
      </c>
      <c r="D108" s="5" t="s">
        <v>467</v>
      </c>
      <c r="E108" s="4" t="s">
        <v>471</v>
      </c>
      <c r="F108" s="1">
        <v>678</v>
      </c>
      <c r="G108" s="13">
        <f t="shared" si="1"/>
        <v>8.136000000000001</v>
      </c>
      <c r="H108" s="4"/>
      <c r="I108" s="4"/>
      <c r="J108" s="4"/>
    </row>
    <row r="109" spans="1:10" x14ac:dyDescent="0.35">
      <c r="A109" s="3" t="s">
        <v>238</v>
      </c>
      <c r="B109" s="4" t="s">
        <v>283</v>
      </c>
      <c r="C109" s="14" t="s">
        <v>283</v>
      </c>
      <c r="D109" s="5" t="s">
        <v>467</v>
      </c>
      <c r="E109" s="4" t="s">
        <v>471</v>
      </c>
      <c r="F109" s="1">
        <v>679</v>
      </c>
      <c r="G109" s="13">
        <f t="shared" si="1"/>
        <v>8.1479999999999997</v>
      </c>
      <c r="H109" s="4"/>
      <c r="I109" s="4"/>
      <c r="J109" s="4"/>
    </row>
    <row r="110" spans="1:10" x14ac:dyDescent="0.35">
      <c r="A110" s="3" t="s">
        <v>239</v>
      </c>
      <c r="B110" s="4" t="s">
        <v>334</v>
      </c>
      <c r="C110" s="14" t="s">
        <v>334</v>
      </c>
      <c r="D110" s="5" t="s">
        <v>467</v>
      </c>
      <c r="E110" s="4" t="s">
        <v>471</v>
      </c>
      <c r="F110" s="1">
        <v>350</v>
      </c>
      <c r="G110" s="13">
        <f t="shared" si="1"/>
        <v>4.2</v>
      </c>
      <c r="H110" s="4"/>
      <c r="I110" s="4"/>
      <c r="J110" s="4"/>
    </row>
    <row r="111" spans="1:10" x14ac:dyDescent="0.35">
      <c r="A111" s="3" t="s">
        <v>240</v>
      </c>
      <c r="B111" s="4" t="s">
        <v>275</v>
      </c>
      <c r="C111" s="14" t="s">
        <v>275</v>
      </c>
      <c r="D111" s="5" t="s">
        <v>467</v>
      </c>
      <c r="E111" s="4" t="s">
        <v>471</v>
      </c>
      <c r="F111" s="1">
        <v>406</v>
      </c>
      <c r="G111" s="13">
        <f t="shared" si="1"/>
        <v>4.8719999999999999</v>
      </c>
      <c r="H111" s="4"/>
      <c r="I111" s="4"/>
      <c r="J111" s="4"/>
    </row>
    <row r="112" spans="1:10" x14ac:dyDescent="0.35">
      <c r="A112" s="3" t="s">
        <v>241</v>
      </c>
      <c r="B112" s="4" t="s">
        <v>464</v>
      </c>
      <c r="C112" s="17" t="s">
        <v>582</v>
      </c>
      <c r="D112" s="5" t="s">
        <v>467</v>
      </c>
      <c r="E112" s="4" t="s">
        <v>471</v>
      </c>
      <c r="F112" s="1">
        <v>500</v>
      </c>
      <c r="G112" s="13">
        <f t="shared" si="1"/>
        <v>6</v>
      </c>
      <c r="H112" s="4"/>
      <c r="I112" s="4"/>
      <c r="J112" s="4"/>
    </row>
    <row r="113" spans="1:10" x14ac:dyDescent="0.35">
      <c r="A113" s="3" t="s">
        <v>242</v>
      </c>
      <c r="B113" s="4" t="s">
        <v>357</v>
      </c>
      <c r="C113" s="17" t="s">
        <v>582</v>
      </c>
      <c r="D113" s="5" t="s">
        <v>467</v>
      </c>
      <c r="E113" s="4" t="s">
        <v>471</v>
      </c>
      <c r="F113" s="1">
        <v>465</v>
      </c>
      <c r="G113" s="13">
        <f t="shared" si="1"/>
        <v>5.58</v>
      </c>
      <c r="H113" s="4"/>
      <c r="I113" s="4"/>
      <c r="J113" s="4"/>
    </row>
    <row r="114" spans="1:10" x14ac:dyDescent="0.35">
      <c r="A114" s="3" t="s">
        <v>243</v>
      </c>
      <c r="B114" s="4" t="s">
        <v>329</v>
      </c>
      <c r="C114" s="17" t="s">
        <v>582</v>
      </c>
      <c r="D114" s="5" t="s">
        <v>467</v>
      </c>
      <c r="E114" s="4" t="s">
        <v>471</v>
      </c>
      <c r="F114" s="1">
        <v>850</v>
      </c>
      <c r="G114" s="13">
        <f t="shared" si="1"/>
        <v>10.200000000000001</v>
      </c>
      <c r="H114" s="4"/>
      <c r="I114" s="4"/>
      <c r="J114" s="4"/>
    </row>
    <row r="115" spans="1:10" x14ac:dyDescent="0.35">
      <c r="A115" s="3" t="s">
        <v>244</v>
      </c>
      <c r="B115" s="4" t="s">
        <v>310</v>
      </c>
      <c r="C115" s="14" t="s">
        <v>310</v>
      </c>
      <c r="D115" s="5" t="s">
        <v>467</v>
      </c>
      <c r="E115" s="4" t="s">
        <v>471</v>
      </c>
      <c r="F115" s="1">
        <v>500</v>
      </c>
      <c r="G115" s="13">
        <f t="shared" si="1"/>
        <v>6</v>
      </c>
      <c r="H115" s="4"/>
      <c r="I115" s="4"/>
      <c r="J115" s="4"/>
    </row>
    <row r="116" spans="1:10" x14ac:dyDescent="0.35">
      <c r="A116" s="3" t="s">
        <v>245</v>
      </c>
      <c r="B116" s="4" t="s">
        <v>300</v>
      </c>
      <c r="C116" s="17" t="s">
        <v>582</v>
      </c>
      <c r="D116" s="5" t="s">
        <v>467</v>
      </c>
      <c r="E116" s="4" t="s">
        <v>471</v>
      </c>
      <c r="F116" s="1">
        <v>435</v>
      </c>
      <c r="G116" s="13">
        <f t="shared" si="1"/>
        <v>5.22</v>
      </c>
      <c r="H116" s="4"/>
      <c r="I116" s="4"/>
      <c r="J116" s="4"/>
    </row>
    <row r="117" spans="1:10" x14ac:dyDescent="0.35">
      <c r="A117" s="3" t="s">
        <v>246</v>
      </c>
      <c r="B117" s="4" t="s">
        <v>380</v>
      </c>
      <c r="C117" s="17" t="s">
        <v>582</v>
      </c>
      <c r="D117" s="5" t="s">
        <v>467</v>
      </c>
      <c r="E117" s="4" t="s">
        <v>471</v>
      </c>
      <c r="F117" s="1">
        <v>140</v>
      </c>
      <c r="G117" s="13">
        <f t="shared" si="1"/>
        <v>1.68</v>
      </c>
      <c r="H117" s="4"/>
      <c r="I117" s="4"/>
      <c r="J117" s="4"/>
    </row>
    <row r="118" spans="1:10" x14ac:dyDescent="0.35">
      <c r="A118" s="3" t="s">
        <v>247</v>
      </c>
      <c r="B118" s="4" t="s">
        <v>351</v>
      </c>
      <c r="C118" s="14" t="s">
        <v>351</v>
      </c>
      <c r="D118" s="5" t="s">
        <v>467</v>
      </c>
      <c r="E118" s="4" t="s">
        <v>471</v>
      </c>
      <c r="F118" s="1">
        <v>880</v>
      </c>
      <c r="G118" s="13">
        <f t="shared" si="1"/>
        <v>10.56</v>
      </c>
      <c r="H118" s="4"/>
      <c r="I118" s="4"/>
      <c r="J118" s="4"/>
    </row>
    <row r="119" spans="1:10" x14ac:dyDescent="0.35">
      <c r="A119" s="3" t="s">
        <v>248</v>
      </c>
      <c r="B119" s="4" t="s">
        <v>465</v>
      </c>
      <c r="C119" s="17" t="s">
        <v>584</v>
      </c>
      <c r="D119" s="5" t="s">
        <v>467</v>
      </c>
      <c r="E119" s="4" t="s">
        <v>471</v>
      </c>
      <c r="F119" s="1">
        <v>945</v>
      </c>
      <c r="G119" s="13">
        <f t="shared" si="1"/>
        <v>11.34</v>
      </c>
      <c r="H119" s="4"/>
      <c r="I119" s="4"/>
      <c r="J119" s="22"/>
    </row>
    <row r="120" spans="1:10" x14ac:dyDescent="0.35">
      <c r="A120" s="3" t="s">
        <v>249</v>
      </c>
      <c r="B120" s="4" t="s">
        <v>381</v>
      </c>
      <c r="C120" s="17" t="s">
        <v>587</v>
      </c>
      <c r="D120" s="5" t="s">
        <v>467</v>
      </c>
      <c r="E120" s="4" t="s">
        <v>471</v>
      </c>
      <c r="F120" s="1">
        <v>735</v>
      </c>
      <c r="G120" s="13">
        <f t="shared" si="1"/>
        <v>8.82</v>
      </c>
      <c r="H120" s="4"/>
      <c r="I120" s="4"/>
      <c r="J120" s="4"/>
    </row>
    <row r="121" spans="1:10" x14ac:dyDescent="0.35">
      <c r="A121" s="3" t="s">
        <v>249</v>
      </c>
      <c r="B121" s="4" t="s">
        <v>376</v>
      </c>
      <c r="C121" s="14" t="s">
        <v>376</v>
      </c>
      <c r="D121" s="5" t="s">
        <v>467</v>
      </c>
      <c r="E121" s="4" t="s">
        <v>471</v>
      </c>
      <c r="F121" s="1">
        <v>830</v>
      </c>
      <c r="G121" s="13">
        <f t="shared" ref="G121" si="2">(6/500)*F121</f>
        <v>9.9600000000000009</v>
      </c>
      <c r="H121" s="4"/>
      <c r="I121" s="4"/>
      <c r="J121" s="4"/>
    </row>
    <row r="122" spans="1:10" x14ac:dyDescent="0.35">
      <c r="A122" s="3" t="s">
        <v>250</v>
      </c>
      <c r="B122" s="4" t="s">
        <v>274</v>
      </c>
      <c r="C122" s="5" t="s">
        <v>599</v>
      </c>
      <c r="D122" s="5" t="s">
        <v>467</v>
      </c>
      <c r="E122" s="4" t="s">
        <v>471</v>
      </c>
      <c r="F122" s="1">
        <v>915</v>
      </c>
      <c r="G122" s="13">
        <f t="shared" si="1"/>
        <v>10.98</v>
      </c>
      <c r="H122" s="4"/>
      <c r="I122" s="4"/>
      <c r="J122" s="4"/>
    </row>
    <row r="123" spans="1:10" s="12" customFormat="1" x14ac:dyDescent="0.35">
      <c r="A123" s="2"/>
      <c r="B123" s="34" t="s">
        <v>268</v>
      </c>
      <c r="C123" s="35"/>
      <c r="D123" s="32"/>
      <c r="E123" s="2"/>
      <c r="F123" s="7">
        <f>SUM(F5:F122)</f>
        <v>64858</v>
      </c>
      <c r="G123" s="7">
        <f>SUM(G5:G122)</f>
        <v>778.29600000000005</v>
      </c>
      <c r="H123" s="2"/>
      <c r="I123" s="2"/>
      <c r="J123" s="2"/>
    </row>
    <row r="125" spans="1:10" x14ac:dyDescent="0.35">
      <c r="B125" s="33" t="s">
        <v>438</v>
      </c>
      <c r="C125" s="33"/>
      <c r="D125" s="31"/>
      <c r="G125" s="33" t="s">
        <v>439</v>
      </c>
      <c r="H125" s="33"/>
      <c r="I125" s="33"/>
      <c r="J125" s="33"/>
    </row>
  </sheetData>
  <autoFilter ref="A4:J123" xr:uid="{3DCD87B9-D396-42F5-9CAF-EA905E03FC48}"/>
  <mergeCells count="4">
    <mergeCell ref="B125:C125"/>
    <mergeCell ref="G125:J125"/>
    <mergeCell ref="A1:J1"/>
    <mergeCell ref="B123:C12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5EC2-B676-4427-A373-AA0BD2114AED}">
  <dimension ref="A1:J75"/>
  <sheetViews>
    <sheetView tabSelected="1" topLeftCell="A61" workbookViewId="0">
      <selection activeCell="D5" sqref="D5:D74"/>
    </sheetView>
  </sheetViews>
  <sheetFormatPr defaultRowHeight="14.5" x14ac:dyDescent="0.35"/>
  <cols>
    <col min="1" max="1" width="4.54296875" bestFit="1" customWidth="1"/>
    <col min="2" max="2" width="21.36328125" bestFit="1" customWidth="1"/>
    <col min="3" max="3" width="23.36328125" bestFit="1" customWidth="1"/>
    <col min="4" max="4" width="23.36328125" customWidth="1"/>
    <col min="5" max="5" width="13.54296875" bestFit="1" customWidth="1"/>
    <col min="6" max="6" width="9.1796875" bestFit="1" customWidth="1"/>
    <col min="7" max="7" width="11.08984375" customWidth="1"/>
    <col min="9" max="9" width="9.08984375" bestFit="1" customWidth="1"/>
    <col min="10" max="10" width="12.36328125" bestFit="1" customWidth="1"/>
  </cols>
  <sheetData>
    <row r="1" spans="1:10" ht="16.5" x14ac:dyDescent="0.35">
      <c r="A1" s="33" t="s">
        <v>610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ht="49.5" x14ac:dyDescent="0.35">
      <c r="A3" s="9" t="s">
        <v>64</v>
      </c>
      <c r="B3" s="9" t="s">
        <v>433</v>
      </c>
      <c r="C3" s="9" t="s">
        <v>434</v>
      </c>
      <c r="D3" s="9" t="s">
        <v>615</v>
      </c>
      <c r="E3" s="9" t="s">
        <v>435</v>
      </c>
      <c r="F3" s="10" t="s">
        <v>447</v>
      </c>
      <c r="G3" s="11" t="s">
        <v>469</v>
      </c>
      <c r="H3" s="11" t="s">
        <v>470</v>
      </c>
      <c r="I3" s="9" t="s">
        <v>445</v>
      </c>
      <c r="J3" s="9" t="s">
        <v>436</v>
      </c>
    </row>
    <row r="4" spans="1:10" ht="16.5" x14ac:dyDescent="0.35">
      <c r="A4" s="9"/>
      <c r="B4" s="9"/>
      <c r="C4" s="9"/>
      <c r="D4" s="9"/>
      <c r="E4" s="9"/>
      <c r="F4" s="10"/>
      <c r="G4" s="11"/>
      <c r="H4" s="11"/>
      <c r="I4" s="9"/>
      <c r="J4" s="9"/>
    </row>
    <row r="5" spans="1:10" ht="16.5" x14ac:dyDescent="0.35">
      <c r="A5" s="3" t="s">
        <v>135</v>
      </c>
      <c r="B5" s="4" t="s">
        <v>324</v>
      </c>
      <c r="C5" s="14" t="s">
        <v>324</v>
      </c>
      <c r="D5" s="14" t="s">
        <v>472</v>
      </c>
      <c r="E5" s="4" t="s">
        <v>472</v>
      </c>
      <c r="F5" s="1">
        <v>662</v>
      </c>
      <c r="G5" s="15">
        <f>(6/500)*F5</f>
        <v>7.944</v>
      </c>
      <c r="H5" s="21"/>
      <c r="I5" s="21"/>
      <c r="J5" s="21"/>
    </row>
    <row r="6" spans="1:10" ht="16.5" x14ac:dyDescent="0.35">
      <c r="A6" s="3" t="s">
        <v>136</v>
      </c>
      <c r="B6" s="4" t="s">
        <v>307</v>
      </c>
      <c r="C6" s="14" t="s">
        <v>307</v>
      </c>
      <c r="D6" s="14" t="s">
        <v>472</v>
      </c>
      <c r="E6" s="4" t="s">
        <v>472</v>
      </c>
      <c r="F6" s="1">
        <v>500</v>
      </c>
      <c r="G6" s="15">
        <f t="shared" ref="G6:G69" si="0">(6/500)*F6</f>
        <v>6</v>
      </c>
      <c r="H6" s="21"/>
      <c r="I6" s="21"/>
      <c r="J6" s="21"/>
    </row>
    <row r="7" spans="1:10" ht="16.5" x14ac:dyDescent="0.35">
      <c r="A7" s="3" t="s">
        <v>137</v>
      </c>
      <c r="B7" s="4" t="s">
        <v>301</v>
      </c>
      <c r="C7" s="14" t="s">
        <v>473</v>
      </c>
      <c r="D7" s="14" t="s">
        <v>472</v>
      </c>
      <c r="E7" s="4" t="s">
        <v>472</v>
      </c>
      <c r="F7" s="1">
        <v>435</v>
      </c>
      <c r="G7" s="15">
        <f t="shared" si="0"/>
        <v>5.22</v>
      </c>
      <c r="H7" s="21"/>
      <c r="I7" s="21"/>
      <c r="J7" s="21"/>
    </row>
    <row r="8" spans="1:10" ht="16.5" x14ac:dyDescent="0.35">
      <c r="A8" s="3" t="s">
        <v>138</v>
      </c>
      <c r="B8" s="4" t="s">
        <v>273</v>
      </c>
      <c r="C8" s="4" t="s">
        <v>327</v>
      </c>
      <c r="D8" s="14" t="s">
        <v>472</v>
      </c>
      <c r="E8" s="4" t="s">
        <v>472</v>
      </c>
      <c r="F8" s="1">
        <v>583</v>
      </c>
      <c r="G8" s="15">
        <f t="shared" si="0"/>
        <v>6.9960000000000004</v>
      </c>
      <c r="H8" s="21"/>
      <c r="I8" s="21"/>
      <c r="J8" s="21"/>
    </row>
    <row r="9" spans="1:10" ht="16.5" x14ac:dyDescent="0.35">
      <c r="A9" s="3" t="s">
        <v>139</v>
      </c>
      <c r="B9" s="4" t="s">
        <v>586</v>
      </c>
      <c r="C9" s="14" t="s">
        <v>586</v>
      </c>
      <c r="D9" s="14" t="s">
        <v>472</v>
      </c>
      <c r="E9" s="4" t="s">
        <v>472</v>
      </c>
      <c r="F9" s="1">
        <v>315</v>
      </c>
      <c r="G9" s="15">
        <f t="shared" si="0"/>
        <v>3.7800000000000002</v>
      </c>
      <c r="H9" s="21"/>
      <c r="I9" s="21"/>
      <c r="J9" s="21"/>
    </row>
    <row r="10" spans="1:10" ht="16.5" x14ac:dyDescent="0.35">
      <c r="A10" s="3" t="s">
        <v>140</v>
      </c>
      <c r="B10" s="4" t="s">
        <v>346</v>
      </c>
      <c r="C10" s="14" t="s">
        <v>474</v>
      </c>
      <c r="D10" s="14" t="s">
        <v>472</v>
      </c>
      <c r="E10" s="4" t="s">
        <v>472</v>
      </c>
      <c r="F10" s="1">
        <v>750</v>
      </c>
      <c r="G10" s="15">
        <f t="shared" si="0"/>
        <v>9</v>
      </c>
      <c r="H10" s="21"/>
      <c r="I10" s="21"/>
      <c r="J10" s="21"/>
    </row>
    <row r="11" spans="1:10" ht="16.5" x14ac:dyDescent="0.35">
      <c r="A11" s="3" t="s">
        <v>141</v>
      </c>
      <c r="B11" s="4" t="s">
        <v>104</v>
      </c>
      <c r="C11" s="14" t="s">
        <v>369</v>
      </c>
      <c r="D11" s="14" t="s">
        <v>472</v>
      </c>
      <c r="E11" s="4" t="s">
        <v>472</v>
      </c>
      <c r="F11" s="1">
        <v>400</v>
      </c>
      <c r="G11" s="15">
        <f t="shared" si="0"/>
        <v>4.8</v>
      </c>
      <c r="H11" s="21"/>
      <c r="I11" s="21"/>
      <c r="J11" s="21"/>
    </row>
    <row r="12" spans="1:10" ht="16.5" x14ac:dyDescent="0.35">
      <c r="A12" s="3" t="s">
        <v>142</v>
      </c>
      <c r="B12" s="4" t="s">
        <v>0</v>
      </c>
      <c r="C12" s="14" t="s">
        <v>369</v>
      </c>
      <c r="D12" s="14" t="s">
        <v>472</v>
      </c>
      <c r="E12" s="4" t="s">
        <v>472</v>
      </c>
      <c r="F12" s="1">
        <v>140</v>
      </c>
      <c r="G12" s="15">
        <f t="shared" si="0"/>
        <v>1.68</v>
      </c>
      <c r="H12" s="21"/>
      <c r="I12" s="21"/>
      <c r="J12" s="21"/>
    </row>
    <row r="13" spans="1:10" ht="16.5" x14ac:dyDescent="0.35">
      <c r="A13" s="3" t="s">
        <v>143</v>
      </c>
      <c r="B13" s="4" t="s">
        <v>475</v>
      </c>
      <c r="C13" s="14" t="s">
        <v>369</v>
      </c>
      <c r="D13" s="14" t="s">
        <v>472</v>
      </c>
      <c r="E13" s="4" t="s">
        <v>472</v>
      </c>
      <c r="F13" s="1">
        <v>260</v>
      </c>
      <c r="G13" s="15">
        <f t="shared" si="0"/>
        <v>3.12</v>
      </c>
      <c r="H13" s="21"/>
      <c r="I13" s="21"/>
      <c r="J13" s="21"/>
    </row>
    <row r="14" spans="1:10" ht="16.5" x14ac:dyDescent="0.35">
      <c r="A14" s="3" t="s">
        <v>134</v>
      </c>
      <c r="B14" s="4" t="s">
        <v>454</v>
      </c>
      <c r="C14" s="14" t="s">
        <v>454</v>
      </c>
      <c r="D14" s="14" t="s">
        <v>472</v>
      </c>
      <c r="E14" s="4" t="s">
        <v>472</v>
      </c>
      <c r="F14" s="1">
        <v>570</v>
      </c>
      <c r="G14" s="15">
        <f t="shared" si="0"/>
        <v>6.84</v>
      </c>
      <c r="H14" s="21"/>
      <c r="I14" s="21"/>
      <c r="J14" s="21"/>
    </row>
    <row r="15" spans="1:10" ht="16.5" x14ac:dyDescent="0.35">
      <c r="A15" s="3" t="s">
        <v>144</v>
      </c>
      <c r="B15" s="4" t="s">
        <v>377</v>
      </c>
      <c r="C15" s="14" t="s">
        <v>279</v>
      </c>
      <c r="D15" s="14" t="s">
        <v>472</v>
      </c>
      <c r="E15" s="4" t="s">
        <v>472</v>
      </c>
      <c r="F15" s="1">
        <v>535</v>
      </c>
      <c r="G15" s="15">
        <f t="shared" si="0"/>
        <v>6.42</v>
      </c>
      <c r="H15" s="21"/>
      <c r="I15" s="21"/>
      <c r="J15" s="21"/>
    </row>
    <row r="16" spans="1:10" ht="16.5" x14ac:dyDescent="0.35">
      <c r="A16" s="3" t="s">
        <v>145</v>
      </c>
      <c r="B16" s="4" t="s">
        <v>336</v>
      </c>
      <c r="C16" s="14" t="s">
        <v>336</v>
      </c>
      <c r="D16" s="14" t="s">
        <v>472</v>
      </c>
      <c r="E16" s="4" t="s">
        <v>472</v>
      </c>
      <c r="F16" s="1">
        <v>710</v>
      </c>
      <c r="G16" s="15">
        <f t="shared" si="0"/>
        <v>8.52</v>
      </c>
      <c r="H16" s="21"/>
      <c r="I16" s="21"/>
      <c r="J16" s="21"/>
    </row>
    <row r="17" spans="1:10" ht="16.5" x14ac:dyDescent="0.35">
      <c r="A17" s="3" t="s">
        <v>146</v>
      </c>
      <c r="B17" s="4" t="s">
        <v>370</v>
      </c>
      <c r="C17" s="4" t="s">
        <v>370</v>
      </c>
      <c r="D17" s="14" t="s">
        <v>472</v>
      </c>
      <c r="E17" s="4" t="s">
        <v>472</v>
      </c>
      <c r="F17" s="1">
        <v>784</v>
      </c>
      <c r="G17" s="15">
        <f t="shared" si="0"/>
        <v>9.4079999999999995</v>
      </c>
      <c r="H17" s="21"/>
      <c r="I17" s="21"/>
      <c r="J17" s="21"/>
    </row>
    <row r="18" spans="1:10" ht="16.5" x14ac:dyDescent="0.35">
      <c r="A18" s="3" t="s">
        <v>147</v>
      </c>
      <c r="B18" s="4" t="s">
        <v>292</v>
      </c>
      <c r="C18" s="14" t="s">
        <v>292</v>
      </c>
      <c r="D18" s="14" t="s">
        <v>472</v>
      </c>
      <c r="E18" s="4" t="s">
        <v>472</v>
      </c>
      <c r="F18" s="1">
        <v>750</v>
      </c>
      <c r="G18" s="15">
        <f t="shared" si="0"/>
        <v>9</v>
      </c>
      <c r="H18" s="21"/>
      <c r="I18" s="21"/>
      <c r="J18" s="21"/>
    </row>
    <row r="19" spans="1:10" ht="16.5" x14ac:dyDescent="0.35">
      <c r="A19" s="3" t="s">
        <v>148</v>
      </c>
      <c r="B19" s="4" t="s">
        <v>456</v>
      </c>
      <c r="C19" s="14" t="s">
        <v>456</v>
      </c>
      <c r="D19" s="14" t="s">
        <v>472</v>
      </c>
      <c r="E19" s="4" t="s">
        <v>472</v>
      </c>
      <c r="F19" s="1">
        <v>705</v>
      </c>
      <c r="G19" s="15">
        <f t="shared" si="0"/>
        <v>8.4600000000000009</v>
      </c>
      <c r="H19" s="21"/>
      <c r="I19" s="21"/>
      <c r="J19" s="21"/>
    </row>
    <row r="20" spans="1:10" ht="16.5" x14ac:dyDescent="0.35">
      <c r="A20" s="3" t="s">
        <v>149</v>
      </c>
      <c r="B20" s="4" t="s">
        <v>314</v>
      </c>
      <c r="C20" s="14" t="s">
        <v>461</v>
      </c>
      <c r="D20" s="14" t="s">
        <v>472</v>
      </c>
      <c r="E20" s="4" t="s">
        <v>472</v>
      </c>
      <c r="F20" s="1">
        <v>370</v>
      </c>
      <c r="G20" s="15">
        <f t="shared" si="0"/>
        <v>4.4400000000000004</v>
      </c>
      <c r="H20" s="21"/>
      <c r="I20" s="21"/>
      <c r="J20" s="21"/>
    </row>
    <row r="21" spans="1:10" ht="16.5" x14ac:dyDescent="0.35">
      <c r="A21" s="3" t="s">
        <v>150</v>
      </c>
      <c r="B21" s="4" t="s">
        <v>461</v>
      </c>
      <c r="C21" s="14" t="s">
        <v>461</v>
      </c>
      <c r="D21" s="14" t="s">
        <v>472</v>
      </c>
      <c r="E21" s="4" t="s">
        <v>472</v>
      </c>
      <c r="F21" s="1">
        <v>530</v>
      </c>
      <c r="G21" s="15">
        <f t="shared" si="0"/>
        <v>6.36</v>
      </c>
      <c r="H21" s="21"/>
      <c r="I21" s="21"/>
      <c r="J21" s="21"/>
    </row>
    <row r="22" spans="1:10" ht="16.5" x14ac:dyDescent="0.35">
      <c r="A22" s="3" t="s">
        <v>151</v>
      </c>
      <c r="B22" s="4" t="s">
        <v>274</v>
      </c>
      <c r="C22" s="4" t="s">
        <v>476</v>
      </c>
      <c r="D22" s="14" t="s">
        <v>472</v>
      </c>
      <c r="E22" s="4" t="s">
        <v>472</v>
      </c>
      <c r="F22" s="1">
        <v>480</v>
      </c>
      <c r="G22" s="15">
        <f t="shared" si="0"/>
        <v>5.76</v>
      </c>
      <c r="H22" s="21"/>
      <c r="I22" s="21"/>
      <c r="J22" s="21"/>
    </row>
    <row r="23" spans="1:10" ht="16.5" x14ac:dyDescent="0.35">
      <c r="A23" s="3" t="s">
        <v>152</v>
      </c>
      <c r="B23" s="4" t="s">
        <v>368</v>
      </c>
      <c r="C23" s="14" t="s">
        <v>368</v>
      </c>
      <c r="D23" s="14" t="s">
        <v>472</v>
      </c>
      <c r="E23" s="4" t="s">
        <v>472</v>
      </c>
      <c r="F23" s="1">
        <v>460</v>
      </c>
      <c r="G23" s="15">
        <f t="shared" si="0"/>
        <v>5.5200000000000005</v>
      </c>
      <c r="H23" s="21"/>
      <c r="I23" s="21"/>
      <c r="J23" s="21"/>
    </row>
    <row r="24" spans="1:10" ht="16.5" x14ac:dyDescent="0.35">
      <c r="A24" s="3" t="s">
        <v>153</v>
      </c>
      <c r="B24" s="4" t="s">
        <v>383</v>
      </c>
      <c r="C24" s="14" t="s">
        <v>383</v>
      </c>
      <c r="D24" s="14" t="s">
        <v>472</v>
      </c>
      <c r="E24" s="4" t="s">
        <v>472</v>
      </c>
      <c r="F24" s="1">
        <v>770</v>
      </c>
      <c r="G24" s="15">
        <f t="shared" si="0"/>
        <v>9.24</v>
      </c>
      <c r="H24" s="21"/>
      <c r="I24" s="21"/>
      <c r="J24" s="21"/>
    </row>
    <row r="25" spans="1:10" ht="16.5" x14ac:dyDescent="0.35">
      <c r="A25" s="3" t="s">
        <v>154</v>
      </c>
      <c r="B25" s="4" t="s">
        <v>336</v>
      </c>
      <c r="C25" s="14" t="s">
        <v>336</v>
      </c>
      <c r="D25" s="14" t="s">
        <v>472</v>
      </c>
      <c r="E25" s="4" t="s">
        <v>472</v>
      </c>
      <c r="F25" s="1">
        <v>600</v>
      </c>
      <c r="G25" s="15">
        <f t="shared" si="0"/>
        <v>7.2</v>
      </c>
      <c r="H25" s="21"/>
      <c r="I25" s="21"/>
      <c r="J25" s="21"/>
    </row>
    <row r="26" spans="1:10" ht="16.5" x14ac:dyDescent="0.35">
      <c r="A26" s="3" t="s">
        <v>155</v>
      </c>
      <c r="B26" s="4" t="s">
        <v>283</v>
      </c>
      <c r="C26" s="14" t="s">
        <v>283</v>
      </c>
      <c r="D26" s="14" t="s">
        <v>472</v>
      </c>
      <c r="E26" s="4" t="s">
        <v>472</v>
      </c>
      <c r="F26" s="1">
        <v>800</v>
      </c>
      <c r="G26" s="15">
        <f t="shared" si="0"/>
        <v>9.6</v>
      </c>
      <c r="H26" s="21"/>
      <c r="I26" s="21"/>
      <c r="J26" s="21"/>
    </row>
    <row r="27" spans="1:10" ht="16.5" x14ac:dyDescent="0.35">
      <c r="A27" s="3" t="s">
        <v>156</v>
      </c>
      <c r="B27" s="4" t="s">
        <v>477</v>
      </c>
      <c r="C27" s="14" t="s">
        <v>477</v>
      </c>
      <c r="D27" s="14" t="s">
        <v>472</v>
      </c>
      <c r="E27" s="4" t="s">
        <v>472</v>
      </c>
      <c r="F27" s="1">
        <v>450</v>
      </c>
      <c r="G27" s="15">
        <f t="shared" si="0"/>
        <v>5.4</v>
      </c>
      <c r="H27" s="21"/>
      <c r="I27" s="21"/>
      <c r="J27" s="21"/>
    </row>
    <row r="28" spans="1:10" ht="16.5" x14ac:dyDescent="0.35">
      <c r="A28" s="3" t="s">
        <v>157</v>
      </c>
      <c r="B28" s="4" t="s">
        <v>461</v>
      </c>
      <c r="C28" s="14" t="s">
        <v>461</v>
      </c>
      <c r="D28" s="14" t="s">
        <v>472</v>
      </c>
      <c r="E28" s="4" t="s">
        <v>472</v>
      </c>
      <c r="F28" s="1">
        <v>940</v>
      </c>
      <c r="G28" s="15">
        <f t="shared" si="0"/>
        <v>11.28</v>
      </c>
      <c r="H28" s="21"/>
      <c r="I28" s="21"/>
      <c r="J28" s="21"/>
    </row>
    <row r="29" spans="1:10" ht="16.5" x14ac:dyDescent="0.35">
      <c r="A29" s="3" t="s">
        <v>158</v>
      </c>
      <c r="B29" s="4" t="s">
        <v>378</v>
      </c>
      <c r="C29" s="14" t="s">
        <v>378</v>
      </c>
      <c r="D29" s="14" t="s">
        <v>472</v>
      </c>
      <c r="E29" s="4" t="s">
        <v>472</v>
      </c>
      <c r="F29" s="1">
        <v>495</v>
      </c>
      <c r="G29" s="15">
        <f t="shared" si="0"/>
        <v>5.94</v>
      </c>
      <c r="H29" s="21"/>
      <c r="I29" s="21"/>
      <c r="J29" s="21"/>
    </row>
    <row r="30" spans="1:10" ht="16.5" x14ac:dyDescent="0.35">
      <c r="A30" s="3" t="s">
        <v>159</v>
      </c>
      <c r="B30" s="4" t="s">
        <v>282</v>
      </c>
      <c r="C30" s="14" t="s">
        <v>456</v>
      </c>
      <c r="D30" s="14" t="s">
        <v>472</v>
      </c>
      <c r="E30" s="4" t="s">
        <v>472</v>
      </c>
      <c r="F30" s="1">
        <v>230</v>
      </c>
      <c r="G30" s="15">
        <f t="shared" si="0"/>
        <v>2.7600000000000002</v>
      </c>
      <c r="H30" s="21"/>
      <c r="I30" s="21"/>
      <c r="J30" s="21"/>
    </row>
    <row r="31" spans="1:10" ht="16.5" x14ac:dyDescent="0.35">
      <c r="A31" s="3" t="s">
        <v>160</v>
      </c>
      <c r="B31" s="4" t="s">
        <v>456</v>
      </c>
      <c r="C31" s="14" t="s">
        <v>456</v>
      </c>
      <c r="D31" s="14" t="s">
        <v>472</v>
      </c>
      <c r="E31" s="4" t="s">
        <v>472</v>
      </c>
      <c r="F31" s="1">
        <v>265</v>
      </c>
      <c r="G31" s="15">
        <f t="shared" si="0"/>
        <v>3.18</v>
      </c>
      <c r="H31" s="21"/>
      <c r="I31" s="21"/>
      <c r="J31" s="21"/>
    </row>
    <row r="32" spans="1:10" ht="16.5" x14ac:dyDescent="0.35">
      <c r="A32" s="3" t="s">
        <v>161</v>
      </c>
      <c r="B32" s="4" t="s">
        <v>357</v>
      </c>
      <c r="C32" s="14" t="s">
        <v>478</v>
      </c>
      <c r="D32" s="14" t="s">
        <v>472</v>
      </c>
      <c r="E32" s="4" t="s">
        <v>472</v>
      </c>
      <c r="F32" s="1">
        <v>1232</v>
      </c>
      <c r="G32" s="15">
        <f t="shared" si="0"/>
        <v>14.784000000000001</v>
      </c>
      <c r="H32" s="21"/>
      <c r="I32" s="21"/>
      <c r="J32" s="21"/>
    </row>
    <row r="33" spans="1:10" ht="16.5" x14ac:dyDescent="0.35">
      <c r="A33" s="3" t="s">
        <v>162</v>
      </c>
      <c r="B33" s="4" t="s">
        <v>358</v>
      </c>
      <c r="C33" s="14" t="s">
        <v>453</v>
      </c>
      <c r="D33" s="14" t="s">
        <v>472</v>
      </c>
      <c r="E33" s="4" t="s">
        <v>472</v>
      </c>
      <c r="F33" s="1">
        <v>840</v>
      </c>
      <c r="G33" s="15">
        <f t="shared" si="0"/>
        <v>10.08</v>
      </c>
      <c r="H33" s="21"/>
      <c r="I33" s="21"/>
      <c r="J33" s="21"/>
    </row>
    <row r="34" spans="1:10" ht="16.5" x14ac:dyDescent="0.35">
      <c r="A34" s="3" t="s">
        <v>163</v>
      </c>
      <c r="B34" s="4" t="s">
        <v>356</v>
      </c>
      <c r="C34" s="14" t="s">
        <v>284</v>
      </c>
      <c r="D34" s="14" t="s">
        <v>472</v>
      </c>
      <c r="E34" s="4" t="s">
        <v>472</v>
      </c>
      <c r="F34" s="1">
        <v>500</v>
      </c>
      <c r="G34" s="15">
        <f t="shared" si="0"/>
        <v>6</v>
      </c>
      <c r="H34" s="21"/>
      <c r="I34" s="21"/>
      <c r="J34" s="21"/>
    </row>
    <row r="35" spans="1:10" ht="16.5" x14ac:dyDescent="0.35">
      <c r="A35" s="3" t="s">
        <v>164</v>
      </c>
      <c r="B35" s="4" t="s">
        <v>479</v>
      </c>
      <c r="C35" s="14" t="s">
        <v>479</v>
      </c>
      <c r="D35" s="14" t="s">
        <v>472</v>
      </c>
      <c r="E35" s="4" t="s">
        <v>472</v>
      </c>
      <c r="F35" s="1">
        <v>1142</v>
      </c>
      <c r="G35" s="15">
        <f t="shared" si="0"/>
        <v>13.704000000000001</v>
      </c>
      <c r="H35" s="21"/>
      <c r="I35" s="21"/>
      <c r="J35" s="21"/>
    </row>
    <row r="36" spans="1:10" ht="16.5" x14ac:dyDescent="0.35">
      <c r="A36" s="3" t="s">
        <v>165</v>
      </c>
      <c r="B36" s="4" t="s">
        <v>287</v>
      </c>
      <c r="C36" s="14" t="s">
        <v>287</v>
      </c>
      <c r="D36" s="14" t="s">
        <v>472</v>
      </c>
      <c r="E36" s="4" t="s">
        <v>472</v>
      </c>
      <c r="F36" s="1">
        <v>575</v>
      </c>
      <c r="G36" s="15">
        <f t="shared" si="0"/>
        <v>6.9</v>
      </c>
      <c r="H36" s="21"/>
      <c r="I36" s="21"/>
      <c r="J36" s="21"/>
    </row>
    <row r="37" spans="1:10" ht="16.5" x14ac:dyDescent="0.35">
      <c r="A37" s="3" t="s">
        <v>166</v>
      </c>
      <c r="B37" s="4" t="s">
        <v>480</v>
      </c>
      <c r="C37" s="14" t="s">
        <v>272</v>
      </c>
      <c r="D37" s="14" t="s">
        <v>472</v>
      </c>
      <c r="E37" s="4" t="s">
        <v>472</v>
      </c>
      <c r="F37" s="1">
        <v>500</v>
      </c>
      <c r="G37" s="15">
        <f t="shared" si="0"/>
        <v>6</v>
      </c>
      <c r="H37" s="21"/>
      <c r="I37" s="21"/>
      <c r="J37" s="21"/>
    </row>
    <row r="38" spans="1:10" ht="16.5" x14ac:dyDescent="0.35">
      <c r="A38" s="3" t="s">
        <v>167</v>
      </c>
      <c r="B38" s="4" t="s">
        <v>346</v>
      </c>
      <c r="C38" s="14" t="s">
        <v>474</v>
      </c>
      <c r="D38" s="14" t="s">
        <v>472</v>
      </c>
      <c r="E38" s="4" t="s">
        <v>472</v>
      </c>
      <c r="F38" s="1">
        <v>500</v>
      </c>
      <c r="G38" s="15">
        <f t="shared" si="0"/>
        <v>6</v>
      </c>
      <c r="H38" s="21"/>
      <c r="I38" s="21"/>
      <c r="J38" s="21"/>
    </row>
    <row r="39" spans="1:10" ht="16.5" x14ac:dyDescent="0.35">
      <c r="A39" s="3" t="s">
        <v>168</v>
      </c>
      <c r="B39" s="4" t="s">
        <v>318</v>
      </c>
      <c r="C39" s="14" t="s">
        <v>318</v>
      </c>
      <c r="D39" s="14" t="s">
        <v>472</v>
      </c>
      <c r="E39" s="4" t="s">
        <v>472</v>
      </c>
      <c r="F39" s="1">
        <v>570</v>
      </c>
      <c r="G39" s="15">
        <f t="shared" si="0"/>
        <v>6.84</v>
      </c>
      <c r="H39" s="21"/>
      <c r="I39" s="21"/>
      <c r="J39" s="21"/>
    </row>
    <row r="40" spans="1:10" ht="16.5" x14ac:dyDescent="0.35">
      <c r="A40" s="3" t="s">
        <v>169</v>
      </c>
      <c r="B40" s="4" t="s">
        <v>454</v>
      </c>
      <c r="C40" s="4"/>
      <c r="D40" s="14" t="s">
        <v>472</v>
      </c>
      <c r="E40" s="4" t="s">
        <v>472</v>
      </c>
      <c r="F40" s="1">
        <v>800</v>
      </c>
      <c r="G40" s="15">
        <f t="shared" si="0"/>
        <v>9.6</v>
      </c>
      <c r="H40" s="21"/>
      <c r="I40" s="21"/>
      <c r="J40" s="21"/>
    </row>
    <row r="41" spans="1:10" ht="16.5" x14ac:dyDescent="0.35">
      <c r="A41" s="3" t="s">
        <v>170</v>
      </c>
      <c r="B41" s="4" t="s">
        <v>311</v>
      </c>
      <c r="C41" s="14" t="s">
        <v>481</v>
      </c>
      <c r="D41" s="14" t="s">
        <v>472</v>
      </c>
      <c r="E41" s="4" t="s">
        <v>472</v>
      </c>
      <c r="F41" s="1">
        <v>570</v>
      </c>
      <c r="G41" s="15">
        <f t="shared" si="0"/>
        <v>6.84</v>
      </c>
      <c r="H41" s="21"/>
      <c r="I41" s="21"/>
      <c r="J41" s="21"/>
    </row>
    <row r="42" spans="1:10" ht="16.5" x14ac:dyDescent="0.35">
      <c r="A42" s="3" t="s">
        <v>171</v>
      </c>
      <c r="B42" s="4" t="s">
        <v>290</v>
      </c>
      <c r="C42" s="14" t="s">
        <v>290</v>
      </c>
      <c r="D42" s="14" t="s">
        <v>472</v>
      </c>
      <c r="E42" s="4" t="s">
        <v>472</v>
      </c>
      <c r="F42" s="1">
        <v>940</v>
      </c>
      <c r="G42" s="15">
        <f t="shared" si="0"/>
        <v>11.28</v>
      </c>
      <c r="H42" s="21"/>
      <c r="I42" s="21"/>
      <c r="J42" s="21"/>
    </row>
    <row r="43" spans="1:10" ht="16.5" x14ac:dyDescent="0.35">
      <c r="A43" s="3" t="s">
        <v>172</v>
      </c>
      <c r="B43" s="4" t="s">
        <v>440</v>
      </c>
      <c r="C43" s="14" t="s">
        <v>329</v>
      </c>
      <c r="D43" s="14" t="s">
        <v>472</v>
      </c>
      <c r="E43" s="4" t="s">
        <v>472</v>
      </c>
      <c r="F43" s="1">
        <v>240</v>
      </c>
      <c r="G43" s="15">
        <f t="shared" si="0"/>
        <v>2.88</v>
      </c>
      <c r="H43" s="21"/>
      <c r="I43" s="21"/>
      <c r="J43" s="21"/>
    </row>
    <row r="44" spans="1:10" ht="16.5" x14ac:dyDescent="0.35">
      <c r="A44" s="3" t="s">
        <v>173</v>
      </c>
      <c r="B44" s="4" t="s">
        <v>310</v>
      </c>
      <c r="C44" s="14" t="s">
        <v>310</v>
      </c>
      <c r="D44" s="14" t="s">
        <v>472</v>
      </c>
      <c r="E44" s="4" t="s">
        <v>472</v>
      </c>
      <c r="F44" s="1">
        <v>560</v>
      </c>
      <c r="G44" s="15">
        <f t="shared" si="0"/>
        <v>6.72</v>
      </c>
      <c r="H44" s="21"/>
      <c r="I44" s="21"/>
      <c r="J44" s="21"/>
    </row>
    <row r="45" spans="1:10" ht="16.5" x14ac:dyDescent="0.35">
      <c r="A45" s="3" t="s">
        <v>174</v>
      </c>
      <c r="B45" s="4" t="s">
        <v>449</v>
      </c>
      <c r="C45" s="4" t="s">
        <v>449</v>
      </c>
      <c r="D45" s="14" t="s">
        <v>472</v>
      </c>
      <c r="E45" s="4" t="s">
        <v>472</v>
      </c>
      <c r="F45" s="1">
        <v>1200</v>
      </c>
      <c r="G45" s="15">
        <f t="shared" si="0"/>
        <v>14.4</v>
      </c>
      <c r="H45" s="21"/>
      <c r="I45" s="21"/>
      <c r="J45" s="21"/>
    </row>
    <row r="46" spans="1:10" ht="16.5" x14ac:dyDescent="0.35">
      <c r="A46" s="3" t="s">
        <v>175</v>
      </c>
      <c r="B46" s="4" t="s">
        <v>273</v>
      </c>
      <c r="C46" s="25" t="s">
        <v>580</v>
      </c>
      <c r="D46" s="14" t="s">
        <v>472</v>
      </c>
      <c r="E46" s="4" t="s">
        <v>472</v>
      </c>
      <c r="F46" s="1">
        <v>742</v>
      </c>
      <c r="G46" s="15">
        <f t="shared" si="0"/>
        <v>8.9039999999999999</v>
      </c>
      <c r="H46" s="21"/>
      <c r="I46" s="21"/>
      <c r="J46" s="21"/>
    </row>
    <row r="47" spans="1:10" ht="16.5" x14ac:dyDescent="0.35">
      <c r="A47" s="3" t="s">
        <v>176</v>
      </c>
      <c r="B47" s="4" t="s">
        <v>440</v>
      </c>
      <c r="C47" s="25" t="s">
        <v>580</v>
      </c>
      <c r="D47" s="14" t="s">
        <v>472</v>
      </c>
      <c r="E47" s="4" t="s">
        <v>472</v>
      </c>
      <c r="F47" s="1">
        <v>438</v>
      </c>
      <c r="G47" s="15">
        <f t="shared" si="0"/>
        <v>5.2560000000000002</v>
      </c>
      <c r="H47" s="21"/>
      <c r="I47" s="21"/>
      <c r="J47" s="21"/>
    </row>
    <row r="48" spans="1:10" ht="16.5" x14ac:dyDescent="0.35">
      <c r="A48" s="3" t="s">
        <v>177</v>
      </c>
      <c r="B48" s="4" t="s">
        <v>300</v>
      </c>
      <c r="C48" s="14" t="s">
        <v>341</v>
      </c>
      <c r="D48" s="14" t="s">
        <v>472</v>
      </c>
      <c r="E48" s="4" t="s">
        <v>472</v>
      </c>
      <c r="F48" s="1">
        <v>500</v>
      </c>
      <c r="G48" s="15">
        <f t="shared" si="0"/>
        <v>6</v>
      </c>
      <c r="H48" s="21"/>
      <c r="I48" s="21"/>
      <c r="J48" s="21"/>
    </row>
    <row r="49" spans="1:10" ht="16.5" x14ac:dyDescent="0.35">
      <c r="A49" s="3" t="s">
        <v>178</v>
      </c>
      <c r="B49" s="4" t="s">
        <v>284</v>
      </c>
      <c r="C49" s="14" t="s">
        <v>284</v>
      </c>
      <c r="D49" s="14" t="s">
        <v>472</v>
      </c>
      <c r="E49" s="4" t="s">
        <v>472</v>
      </c>
      <c r="F49" s="1">
        <v>510</v>
      </c>
      <c r="G49" s="15">
        <f t="shared" si="0"/>
        <v>6.12</v>
      </c>
      <c r="H49" s="21"/>
      <c r="I49" s="21"/>
      <c r="J49" s="21"/>
    </row>
    <row r="50" spans="1:10" ht="16.5" x14ac:dyDescent="0.35">
      <c r="A50" s="3" t="s">
        <v>179</v>
      </c>
      <c r="B50" s="4" t="s">
        <v>461</v>
      </c>
      <c r="C50" s="14" t="s">
        <v>461</v>
      </c>
      <c r="D50" s="14" t="s">
        <v>472</v>
      </c>
      <c r="E50" s="4" t="s">
        <v>472</v>
      </c>
      <c r="F50" s="1">
        <v>1026</v>
      </c>
      <c r="G50" s="15">
        <f t="shared" si="0"/>
        <v>12.311999999999999</v>
      </c>
      <c r="H50" s="21"/>
      <c r="I50" s="21"/>
      <c r="J50" s="21"/>
    </row>
    <row r="51" spans="1:10" ht="16.5" x14ac:dyDescent="0.35">
      <c r="A51" s="3" t="s">
        <v>180</v>
      </c>
      <c r="B51" s="4" t="s">
        <v>454</v>
      </c>
      <c r="C51" s="14" t="s">
        <v>454</v>
      </c>
      <c r="D51" s="14" t="s">
        <v>472</v>
      </c>
      <c r="E51" s="4" t="s">
        <v>472</v>
      </c>
      <c r="F51" s="1">
        <v>618</v>
      </c>
      <c r="G51" s="15">
        <f t="shared" si="0"/>
        <v>7.4160000000000004</v>
      </c>
      <c r="H51" s="21"/>
      <c r="I51" s="21"/>
      <c r="J51" s="21"/>
    </row>
    <row r="52" spans="1:10" ht="16.5" x14ac:dyDescent="0.35">
      <c r="A52" s="3" t="s">
        <v>181</v>
      </c>
      <c r="B52" s="4" t="s">
        <v>457</v>
      </c>
      <c r="C52" s="14" t="s">
        <v>607</v>
      </c>
      <c r="D52" s="14" t="s">
        <v>472</v>
      </c>
      <c r="E52" s="4" t="s">
        <v>472</v>
      </c>
      <c r="F52" s="1">
        <v>482</v>
      </c>
      <c r="G52" s="15">
        <f t="shared" si="0"/>
        <v>5.7839999999999998</v>
      </c>
      <c r="H52" s="21"/>
      <c r="I52" s="21"/>
      <c r="J52" s="21"/>
    </row>
    <row r="53" spans="1:10" ht="16.5" x14ac:dyDescent="0.35">
      <c r="A53" s="3" t="s">
        <v>182</v>
      </c>
      <c r="B53" s="4" t="s">
        <v>302</v>
      </c>
      <c r="C53" s="14" t="s">
        <v>302</v>
      </c>
      <c r="D53" s="14" t="s">
        <v>472</v>
      </c>
      <c r="E53" s="4" t="s">
        <v>472</v>
      </c>
      <c r="F53" s="1">
        <v>785</v>
      </c>
      <c r="G53" s="15">
        <f t="shared" si="0"/>
        <v>9.42</v>
      </c>
      <c r="H53" s="21"/>
      <c r="I53" s="21"/>
      <c r="J53" s="21"/>
    </row>
    <row r="54" spans="1:10" ht="16.5" x14ac:dyDescent="0.35">
      <c r="A54" s="3" t="s">
        <v>183</v>
      </c>
      <c r="B54" s="4" t="s">
        <v>311</v>
      </c>
      <c r="C54" s="4"/>
      <c r="D54" s="14" t="s">
        <v>472</v>
      </c>
      <c r="E54" s="4" t="s">
        <v>472</v>
      </c>
      <c r="F54" s="1">
        <v>105</v>
      </c>
      <c r="G54" s="15">
        <f t="shared" si="0"/>
        <v>1.26</v>
      </c>
      <c r="H54" s="21"/>
      <c r="I54" s="21"/>
      <c r="J54" s="21"/>
    </row>
    <row r="55" spans="1:10" ht="16.5" x14ac:dyDescent="0.35">
      <c r="A55" s="3" t="s">
        <v>184</v>
      </c>
      <c r="B55" s="4" t="s">
        <v>336</v>
      </c>
      <c r="C55" s="14" t="s">
        <v>336</v>
      </c>
      <c r="D55" s="14" t="s">
        <v>472</v>
      </c>
      <c r="E55" s="4" t="s">
        <v>472</v>
      </c>
      <c r="F55" s="1">
        <v>568</v>
      </c>
      <c r="G55" s="15">
        <f t="shared" si="0"/>
        <v>6.8159999999999998</v>
      </c>
      <c r="H55" s="21"/>
      <c r="I55" s="21"/>
      <c r="J55" s="21"/>
    </row>
    <row r="56" spans="1:10" ht="16.5" x14ac:dyDescent="0.35">
      <c r="A56" s="3" t="s">
        <v>185</v>
      </c>
      <c r="B56" s="4" t="s">
        <v>341</v>
      </c>
      <c r="C56" s="4" t="s">
        <v>476</v>
      </c>
      <c r="D56" s="14" t="s">
        <v>472</v>
      </c>
      <c r="E56" s="4" t="s">
        <v>472</v>
      </c>
      <c r="F56" s="1">
        <v>458</v>
      </c>
      <c r="G56" s="15">
        <f t="shared" si="0"/>
        <v>5.4960000000000004</v>
      </c>
      <c r="H56" s="21"/>
      <c r="I56" s="21"/>
      <c r="J56" s="21"/>
    </row>
    <row r="57" spans="1:10" ht="16.5" x14ac:dyDescent="0.35">
      <c r="A57" s="3" t="s">
        <v>186</v>
      </c>
      <c r="B57" s="4" t="s">
        <v>482</v>
      </c>
      <c r="C57" s="4" t="s">
        <v>476</v>
      </c>
      <c r="D57" s="14" t="s">
        <v>472</v>
      </c>
      <c r="E57" s="4" t="s">
        <v>472</v>
      </c>
      <c r="F57" s="1">
        <v>1202</v>
      </c>
      <c r="G57" s="15">
        <f t="shared" si="0"/>
        <v>14.423999999999999</v>
      </c>
      <c r="H57" s="21"/>
      <c r="I57" s="21"/>
      <c r="J57" s="21"/>
    </row>
    <row r="58" spans="1:10" ht="16.5" x14ac:dyDescent="0.35">
      <c r="A58" s="3" t="s">
        <v>187</v>
      </c>
      <c r="B58" s="4" t="s">
        <v>306</v>
      </c>
      <c r="C58" s="4"/>
      <c r="D58" s="14" t="s">
        <v>472</v>
      </c>
      <c r="E58" s="4" t="s">
        <v>472</v>
      </c>
      <c r="F58" s="1">
        <v>515</v>
      </c>
      <c r="G58" s="15">
        <f t="shared" si="0"/>
        <v>6.18</v>
      </c>
      <c r="H58" s="21"/>
      <c r="I58" s="21"/>
      <c r="J58" s="21"/>
    </row>
    <row r="59" spans="1:10" ht="16.5" x14ac:dyDescent="0.35">
      <c r="A59" s="3" t="s">
        <v>188</v>
      </c>
      <c r="B59" s="4" t="s">
        <v>461</v>
      </c>
      <c r="C59" s="14" t="s">
        <v>306</v>
      </c>
      <c r="D59" s="14" t="s">
        <v>472</v>
      </c>
      <c r="E59" s="4" t="s">
        <v>472</v>
      </c>
      <c r="F59" s="1">
        <v>515</v>
      </c>
      <c r="G59" s="15">
        <f t="shared" si="0"/>
        <v>6.18</v>
      </c>
      <c r="H59" s="21"/>
      <c r="I59" s="21"/>
      <c r="J59" s="21"/>
    </row>
    <row r="60" spans="1:10" ht="16.5" x14ac:dyDescent="0.35">
      <c r="A60" s="3" t="s">
        <v>189</v>
      </c>
      <c r="B60" s="4" t="s">
        <v>483</v>
      </c>
      <c r="C60" s="14" t="s">
        <v>281</v>
      </c>
      <c r="D60" s="14" t="s">
        <v>472</v>
      </c>
      <c r="E60" s="4" t="s">
        <v>472</v>
      </c>
      <c r="F60" s="1">
        <v>350</v>
      </c>
      <c r="G60" s="15">
        <f t="shared" si="0"/>
        <v>4.2</v>
      </c>
      <c r="H60" s="21"/>
      <c r="I60" s="21"/>
      <c r="J60" s="21"/>
    </row>
    <row r="61" spans="1:10" ht="16.5" x14ac:dyDescent="0.35">
      <c r="A61" s="3" t="s">
        <v>190</v>
      </c>
      <c r="B61" s="4" t="s">
        <v>377</v>
      </c>
      <c r="C61" s="14" t="s">
        <v>377</v>
      </c>
      <c r="D61" s="14" t="s">
        <v>472</v>
      </c>
      <c r="E61" s="4" t="s">
        <v>472</v>
      </c>
      <c r="F61" s="1">
        <v>1035</v>
      </c>
      <c r="G61" s="15">
        <f t="shared" si="0"/>
        <v>12.42</v>
      </c>
      <c r="H61" s="21"/>
      <c r="I61" s="21"/>
      <c r="J61" s="21"/>
    </row>
    <row r="62" spans="1:10" ht="16.5" x14ac:dyDescent="0.35">
      <c r="A62" s="3" t="s">
        <v>191</v>
      </c>
      <c r="B62" s="4" t="s">
        <v>295</v>
      </c>
      <c r="C62" s="14" t="s">
        <v>295</v>
      </c>
      <c r="D62" s="14" t="s">
        <v>472</v>
      </c>
      <c r="E62" s="4" t="s">
        <v>472</v>
      </c>
      <c r="F62" s="1">
        <v>1000</v>
      </c>
      <c r="G62" s="15">
        <f t="shared" si="0"/>
        <v>12</v>
      </c>
      <c r="H62" s="21"/>
      <c r="I62" s="21"/>
      <c r="J62" s="21"/>
    </row>
    <row r="63" spans="1:10" ht="16.5" x14ac:dyDescent="0.35">
      <c r="A63" s="3" t="s">
        <v>192</v>
      </c>
      <c r="B63" s="4" t="s">
        <v>484</v>
      </c>
      <c r="C63" s="14" t="s">
        <v>353</v>
      </c>
      <c r="D63" s="14" t="s">
        <v>472</v>
      </c>
      <c r="E63" s="4" t="s">
        <v>472</v>
      </c>
      <c r="F63" s="1">
        <v>600</v>
      </c>
      <c r="G63" s="15">
        <f t="shared" si="0"/>
        <v>7.2</v>
      </c>
      <c r="H63" s="21"/>
      <c r="I63" s="21"/>
      <c r="J63" s="21"/>
    </row>
    <row r="64" spans="1:10" ht="16.5" x14ac:dyDescent="0.35">
      <c r="A64" s="3" t="s">
        <v>193</v>
      </c>
      <c r="B64" s="4" t="s">
        <v>313</v>
      </c>
      <c r="C64" s="14" t="s">
        <v>341</v>
      </c>
      <c r="D64" s="14" t="s">
        <v>472</v>
      </c>
      <c r="E64" s="4" t="s">
        <v>472</v>
      </c>
      <c r="F64" s="1">
        <v>650</v>
      </c>
      <c r="G64" s="15">
        <f t="shared" si="0"/>
        <v>7.8</v>
      </c>
      <c r="H64" s="21"/>
      <c r="I64" s="21"/>
      <c r="J64" s="21"/>
    </row>
    <row r="65" spans="1:10" ht="16.5" x14ac:dyDescent="0.35">
      <c r="A65" s="3" t="s">
        <v>194</v>
      </c>
      <c r="B65" s="4" t="s">
        <v>341</v>
      </c>
      <c r="C65" s="14" t="s">
        <v>341</v>
      </c>
      <c r="D65" s="14" t="s">
        <v>472</v>
      </c>
      <c r="E65" s="4" t="s">
        <v>472</v>
      </c>
      <c r="F65" s="1">
        <v>650</v>
      </c>
      <c r="G65" s="15">
        <f t="shared" si="0"/>
        <v>7.8</v>
      </c>
      <c r="H65" s="21"/>
      <c r="I65" s="21"/>
      <c r="J65" s="21"/>
    </row>
    <row r="66" spans="1:10" ht="16.5" x14ac:dyDescent="0.35">
      <c r="A66" s="3" t="s">
        <v>195</v>
      </c>
      <c r="B66" s="4" t="s">
        <v>483</v>
      </c>
      <c r="C66" s="14" t="s">
        <v>281</v>
      </c>
      <c r="D66" s="14" t="s">
        <v>472</v>
      </c>
      <c r="E66" s="4" t="s">
        <v>472</v>
      </c>
      <c r="F66" s="1">
        <v>1100</v>
      </c>
      <c r="G66" s="15">
        <f t="shared" si="0"/>
        <v>13.200000000000001</v>
      </c>
      <c r="H66" s="21"/>
      <c r="I66" s="21"/>
      <c r="J66" s="21"/>
    </row>
    <row r="67" spans="1:10" ht="16.5" x14ac:dyDescent="0.35">
      <c r="A67" s="3" t="s">
        <v>196</v>
      </c>
      <c r="B67" s="4" t="s">
        <v>365</v>
      </c>
      <c r="C67" s="14" t="s">
        <v>82</v>
      </c>
      <c r="D67" s="14" t="s">
        <v>472</v>
      </c>
      <c r="E67" s="4" t="s">
        <v>472</v>
      </c>
      <c r="F67" s="1">
        <v>810</v>
      </c>
      <c r="G67" s="15">
        <f t="shared" si="0"/>
        <v>9.7200000000000006</v>
      </c>
      <c r="H67" s="21"/>
      <c r="I67" s="21"/>
      <c r="J67" s="21"/>
    </row>
    <row r="68" spans="1:10" ht="16.5" x14ac:dyDescent="0.35">
      <c r="A68" s="3" t="s">
        <v>197</v>
      </c>
      <c r="B68" s="4" t="s">
        <v>298</v>
      </c>
      <c r="C68" s="14" t="s">
        <v>318</v>
      </c>
      <c r="D68" s="14" t="s">
        <v>472</v>
      </c>
      <c r="E68" s="4" t="s">
        <v>472</v>
      </c>
      <c r="F68" s="1">
        <v>725</v>
      </c>
      <c r="G68" s="15">
        <f t="shared" si="0"/>
        <v>8.7000000000000011</v>
      </c>
      <c r="H68" s="21"/>
      <c r="I68" s="21"/>
      <c r="J68" s="21"/>
    </row>
    <row r="69" spans="1:10" ht="16.5" x14ac:dyDescent="0.35">
      <c r="A69" s="3" t="s">
        <v>198</v>
      </c>
      <c r="B69" s="4" t="s">
        <v>339</v>
      </c>
      <c r="C69" s="14" t="s">
        <v>485</v>
      </c>
      <c r="D69" s="14" t="s">
        <v>472</v>
      </c>
      <c r="E69" s="4" t="s">
        <v>472</v>
      </c>
      <c r="F69" s="1">
        <v>640</v>
      </c>
      <c r="G69" s="15">
        <f t="shared" si="0"/>
        <v>7.68</v>
      </c>
      <c r="H69" s="21"/>
      <c r="I69" s="21"/>
      <c r="J69" s="21"/>
    </row>
    <row r="70" spans="1:10" ht="16.5" x14ac:dyDescent="0.35">
      <c r="A70" s="3" t="s">
        <v>199</v>
      </c>
      <c r="B70" s="4" t="s">
        <v>339</v>
      </c>
      <c r="C70" s="14" t="s">
        <v>485</v>
      </c>
      <c r="D70" s="14" t="s">
        <v>472</v>
      </c>
      <c r="E70" s="4" t="s">
        <v>472</v>
      </c>
      <c r="F70" s="1">
        <v>85</v>
      </c>
      <c r="G70" s="15">
        <f t="shared" ref="G70:G74" si="1">(6/500)*F70</f>
        <v>1.02</v>
      </c>
      <c r="H70" s="21"/>
      <c r="I70" s="21"/>
      <c r="J70" s="21"/>
    </row>
    <row r="71" spans="1:10" ht="16.5" x14ac:dyDescent="0.35">
      <c r="A71" s="3" t="s">
        <v>200</v>
      </c>
      <c r="B71" s="4" t="s">
        <v>486</v>
      </c>
      <c r="C71" s="14" t="s">
        <v>486</v>
      </c>
      <c r="D71" s="14" t="s">
        <v>472</v>
      </c>
      <c r="E71" s="4" t="s">
        <v>472</v>
      </c>
      <c r="F71" s="1">
        <v>750</v>
      </c>
      <c r="G71" s="15">
        <f t="shared" si="1"/>
        <v>9</v>
      </c>
      <c r="H71" s="21"/>
      <c r="I71" s="21"/>
      <c r="J71" s="21"/>
    </row>
    <row r="72" spans="1:10" ht="16.5" x14ac:dyDescent="0.35">
      <c r="A72" s="3" t="s">
        <v>201</v>
      </c>
      <c r="B72" s="4" t="s">
        <v>387</v>
      </c>
      <c r="C72" s="4" t="s">
        <v>487</v>
      </c>
      <c r="D72" s="14" t="s">
        <v>472</v>
      </c>
      <c r="E72" s="4" t="s">
        <v>472</v>
      </c>
      <c r="F72" s="1">
        <v>500</v>
      </c>
      <c r="G72" s="15">
        <f t="shared" si="1"/>
        <v>6</v>
      </c>
      <c r="H72" s="21"/>
      <c r="I72" s="21"/>
      <c r="J72" s="21"/>
    </row>
    <row r="73" spans="1:10" ht="16.5" x14ac:dyDescent="0.35">
      <c r="A73" s="3" t="s">
        <v>202</v>
      </c>
      <c r="B73" s="4" t="s">
        <v>464</v>
      </c>
      <c r="C73" s="14" t="s">
        <v>310</v>
      </c>
      <c r="D73" s="14" t="s">
        <v>472</v>
      </c>
      <c r="E73" s="4" t="s">
        <v>472</v>
      </c>
      <c r="F73" s="1">
        <v>500</v>
      </c>
      <c r="G73" s="15">
        <f t="shared" si="1"/>
        <v>6</v>
      </c>
      <c r="H73" s="21"/>
      <c r="I73" s="21"/>
      <c r="J73" s="21"/>
    </row>
    <row r="74" spans="1:10" ht="16.5" x14ac:dyDescent="0.35">
      <c r="A74" s="3" t="s">
        <v>203</v>
      </c>
      <c r="B74" s="4" t="s">
        <v>488</v>
      </c>
      <c r="C74" s="14" t="s">
        <v>376</v>
      </c>
      <c r="D74" s="14" t="s">
        <v>472</v>
      </c>
      <c r="E74" s="4" t="s">
        <v>467</v>
      </c>
      <c r="F74" s="1">
        <v>850</v>
      </c>
      <c r="G74" s="15">
        <f t="shared" si="1"/>
        <v>10.200000000000001</v>
      </c>
      <c r="H74" s="21"/>
      <c r="I74" s="21"/>
      <c r="J74" s="21"/>
    </row>
    <row r="75" spans="1:10" ht="16.5" x14ac:dyDescent="0.35">
      <c r="A75" s="2"/>
      <c r="B75" s="2" t="s">
        <v>268</v>
      </c>
      <c r="C75" s="2"/>
      <c r="D75" s="2"/>
      <c r="E75" s="2"/>
      <c r="F75" s="7">
        <f>SUM(F5:F74)</f>
        <v>43367</v>
      </c>
      <c r="G75" s="7">
        <f>SUM(G5:G74)</f>
        <v>520.40399999999988</v>
      </c>
      <c r="H75" s="21"/>
      <c r="I75" s="21"/>
      <c r="J75" s="21"/>
    </row>
  </sheetData>
  <autoFilter ref="A4:J75" xr:uid="{B7EA5EC2-B676-4427-A373-AA0BD2114AED}"/>
  <mergeCells count="1">
    <mergeCell ref="A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HG244-T9</vt:lpstr>
      <vt:lpstr>HG12-T9</vt:lpstr>
      <vt:lpstr>HG244-T10</vt:lpstr>
      <vt:lpstr>LBT-GO</vt:lpstr>
      <vt:lpstr>LaChau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Tuan</dc:creator>
  <cp:lastModifiedBy>Phạm Tuân</cp:lastModifiedBy>
  <cp:lastPrinted>2024-11-28T05:21:26Z</cp:lastPrinted>
  <dcterms:created xsi:type="dcterms:W3CDTF">2015-06-05T18:17:20Z</dcterms:created>
  <dcterms:modified xsi:type="dcterms:W3CDTF">2026-08-16T16:16:15Z</dcterms:modified>
</cp:coreProperties>
</file>